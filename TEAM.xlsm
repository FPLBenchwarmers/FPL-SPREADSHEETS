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S:\FPL\CURRENT\"/>
    </mc:Choice>
  </mc:AlternateContent>
  <xr:revisionPtr revIDLastSave="0" documentId="13_ncr:1_{A0590C67-0100-4B6D-8575-EEF0D4BE4CEC}" xr6:coauthVersionLast="36" xr6:coauthVersionMax="36" xr10:uidLastSave="{00000000-0000-0000-0000-000000000000}"/>
  <bookViews>
    <workbookView xWindow="0" yWindow="0" windowWidth="28770" windowHeight="14595" xr2:uid="{AAE084E8-EF65-43D5-8E60-C755E617EEFC}"/>
  </bookViews>
  <sheets>
    <sheet name="TEAMS" sheetId="1" r:id="rId1"/>
    <sheet name="DATA" sheetId="3" r:id="rId2"/>
    <sheet name="Player List" sheetId="2" r:id="rId3"/>
    <sheet name="NOTES" sheetId="4" r:id="rId4"/>
  </sheets>
  <externalReferences>
    <externalReference r:id="rId5"/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85" i="1" l="1"/>
  <c r="E279" i="1"/>
  <c r="E43" i="1"/>
  <c r="A652" i="1" l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C652" i="1" l="1"/>
  <c r="A653" i="1"/>
  <c r="C651" i="1"/>
  <c r="C653" i="1" l="1"/>
  <c r="A654" i="1"/>
  <c r="C654" i="1" l="1"/>
  <c r="A655" i="1"/>
  <c r="A656" i="1" l="1"/>
  <c r="C655" i="1"/>
  <c r="A657" i="1" l="1"/>
  <c r="C656" i="1"/>
  <c r="C657" i="1" l="1"/>
  <c r="A658" i="1"/>
  <c r="C658" i="1" l="1"/>
  <c r="A659" i="1"/>
  <c r="A660" i="1" l="1"/>
  <c r="C659" i="1"/>
  <c r="A661" i="1" l="1"/>
  <c r="C660" i="1"/>
  <c r="C661" i="1" l="1"/>
  <c r="A662" i="1"/>
  <c r="C662" i="1" l="1"/>
  <c r="A663" i="1"/>
  <c r="A664" i="1" l="1"/>
  <c r="C663" i="1"/>
  <c r="C664" i="1" l="1"/>
  <c r="A665" i="1"/>
  <c r="C665" i="1" l="1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" i="3"/>
  <c r="D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" i="3" l="1"/>
  <c r="C648" i="1" l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5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A635" i="1"/>
  <c r="A636" i="1" s="1"/>
  <c r="A637" i="1" s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A618" i="1"/>
  <c r="A619" i="1" s="1"/>
  <c r="A620" i="1" s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A601" i="1"/>
  <c r="A602" i="1" s="1"/>
  <c r="A603" i="1" s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A584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A567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A550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A533" i="1"/>
  <c r="A534" i="1" s="1"/>
  <c r="A535" i="1" s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A517" i="1"/>
  <c r="A518" i="1" s="1"/>
  <c r="F516" i="1"/>
  <c r="A516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A499" i="1"/>
  <c r="A500" i="1" s="1"/>
  <c r="A501" i="1" s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A482" i="1"/>
  <c r="A483" i="1" s="1"/>
  <c r="A484" i="1" s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A465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A448" i="1"/>
  <c r="A449" i="1" s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A432" i="1"/>
  <c r="A433" i="1" s="1"/>
  <c r="F431" i="1"/>
  <c r="A431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A415" i="1"/>
  <c r="A416" i="1" s="1"/>
  <c r="F414" i="1"/>
  <c r="A414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A397" i="1"/>
  <c r="A398" i="1" s="1"/>
  <c r="A399" i="1" s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A380" i="1"/>
  <c r="A381" i="1" s="1"/>
  <c r="A382" i="1" s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A363" i="1"/>
  <c r="A364" i="1" s="1"/>
  <c r="A365" i="1" s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A346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A329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A312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A295" i="1"/>
  <c r="A296" i="1" s="1"/>
  <c r="A297" i="1" s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A278" i="1"/>
  <c r="A279" i="1" s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A261" i="1"/>
  <c r="A262" i="1" s="1"/>
  <c r="A263" i="1" s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A245" i="1"/>
  <c r="A246" i="1" s="1"/>
  <c r="F244" i="1"/>
  <c r="A244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A228" i="1"/>
  <c r="A229" i="1" s="1"/>
  <c r="F227" i="1"/>
  <c r="A227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A211" i="1"/>
  <c r="A212" i="1" s="1"/>
  <c r="F210" i="1"/>
  <c r="A210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A193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A176" i="1"/>
  <c r="A177" i="1" s="1"/>
  <c r="A178" i="1" s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A160" i="1"/>
  <c r="A161" i="1" s="1"/>
  <c r="F159" i="1"/>
  <c r="A159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A143" i="1"/>
  <c r="A144" i="1" s="1"/>
  <c r="F142" i="1"/>
  <c r="A142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A125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A108" i="1"/>
  <c r="A109" i="1" s="1"/>
  <c r="A110" i="1" s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A91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A74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A57" i="1"/>
  <c r="A41" i="1"/>
  <c r="A42" i="1" s="1"/>
  <c r="A40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B2" i="3"/>
  <c r="C2" i="3"/>
  <c r="B3" i="3"/>
  <c r="C3" i="3"/>
  <c r="B4" i="3"/>
  <c r="C4" i="3"/>
  <c r="B5" i="3"/>
  <c r="C5" i="3"/>
  <c r="B6" i="3"/>
  <c r="C6" i="3"/>
  <c r="B7" i="3"/>
  <c r="C7" i="3"/>
  <c r="B8" i="3"/>
  <c r="C8" i="3"/>
  <c r="B9" i="3"/>
  <c r="C9" i="3"/>
  <c r="B10" i="3"/>
  <c r="C10" i="3"/>
  <c r="B11" i="3"/>
  <c r="C11" i="3"/>
  <c r="B12" i="3"/>
  <c r="C12" i="3"/>
  <c r="B13" i="3"/>
  <c r="C13" i="3"/>
  <c r="B14" i="3"/>
  <c r="C14" i="3"/>
  <c r="B15" i="3"/>
  <c r="C15" i="3"/>
  <c r="B16" i="3"/>
  <c r="C16" i="3"/>
  <c r="B17" i="3"/>
  <c r="C17" i="3"/>
  <c r="B18" i="3"/>
  <c r="C18" i="3"/>
  <c r="B19" i="3"/>
  <c r="C19" i="3"/>
  <c r="B20" i="3"/>
  <c r="C20" i="3"/>
  <c r="B21" i="3"/>
  <c r="C21" i="3"/>
  <c r="B22" i="3"/>
  <c r="C22" i="3"/>
  <c r="B23" i="3"/>
  <c r="C23" i="3"/>
  <c r="B24" i="3"/>
  <c r="C24" i="3"/>
  <c r="B25" i="3"/>
  <c r="C25" i="3"/>
  <c r="B26" i="3"/>
  <c r="C26" i="3"/>
  <c r="B27" i="3"/>
  <c r="C27" i="3"/>
  <c r="B28" i="3"/>
  <c r="C28" i="3"/>
  <c r="B29" i="3"/>
  <c r="C29" i="3"/>
  <c r="B30" i="3"/>
  <c r="C30" i="3"/>
  <c r="B31" i="3"/>
  <c r="C31" i="3"/>
  <c r="B32" i="3"/>
  <c r="C32" i="3"/>
  <c r="B33" i="3"/>
  <c r="C33" i="3"/>
  <c r="B34" i="3"/>
  <c r="C34" i="3"/>
  <c r="B35" i="3"/>
  <c r="C35" i="3"/>
  <c r="B36" i="3"/>
  <c r="C36" i="3"/>
  <c r="B37" i="3"/>
  <c r="C37" i="3"/>
  <c r="B38" i="3"/>
  <c r="C38" i="3"/>
  <c r="B39" i="3"/>
  <c r="C39" i="3"/>
  <c r="B40" i="3"/>
  <c r="C40" i="3"/>
  <c r="B41" i="3"/>
  <c r="C41" i="3"/>
  <c r="B42" i="3"/>
  <c r="C42" i="3"/>
  <c r="B43" i="3"/>
  <c r="C43" i="3"/>
  <c r="B44" i="3"/>
  <c r="C44" i="3"/>
  <c r="B45" i="3"/>
  <c r="C45" i="3"/>
  <c r="B46" i="3"/>
  <c r="C46" i="3"/>
  <c r="B47" i="3"/>
  <c r="C47" i="3"/>
  <c r="B48" i="3"/>
  <c r="C48" i="3"/>
  <c r="B49" i="3"/>
  <c r="C49" i="3"/>
  <c r="B50" i="3"/>
  <c r="C50" i="3"/>
  <c r="B51" i="3"/>
  <c r="C51" i="3"/>
  <c r="B52" i="3"/>
  <c r="C52" i="3"/>
  <c r="B53" i="3"/>
  <c r="C53" i="3"/>
  <c r="B54" i="3"/>
  <c r="C54" i="3"/>
  <c r="B55" i="3"/>
  <c r="C55" i="3"/>
  <c r="B56" i="3"/>
  <c r="C56" i="3"/>
  <c r="B57" i="3"/>
  <c r="C57" i="3"/>
  <c r="B58" i="3"/>
  <c r="C58" i="3"/>
  <c r="B59" i="3"/>
  <c r="C59" i="3"/>
  <c r="B60" i="3"/>
  <c r="C60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B125" i="3"/>
  <c r="C125" i="3"/>
  <c r="B126" i="3"/>
  <c r="C126" i="3"/>
  <c r="B127" i="3"/>
  <c r="C127" i="3"/>
  <c r="B128" i="3"/>
  <c r="C128" i="3"/>
  <c r="B129" i="3"/>
  <c r="C129" i="3"/>
  <c r="B130" i="3"/>
  <c r="C130" i="3"/>
  <c r="B131" i="3"/>
  <c r="C131" i="3"/>
  <c r="B132" i="3"/>
  <c r="C132" i="3"/>
  <c r="B133" i="3"/>
  <c r="C133" i="3"/>
  <c r="B134" i="3"/>
  <c r="C134" i="3"/>
  <c r="B135" i="3"/>
  <c r="C135" i="3"/>
  <c r="B136" i="3"/>
  <c r="C136" i="3"/>
  <c r="B137" i="3"/>
  <c r="C137" i="3"/>
  <c r="B138" i="3"/>
  <c r="C138" i="3"/>
  <c r="B139" i="3"/>
  <c r="C139" i="3"/>
  <c r="B140" i="3"/>
  <c r="C140" i="3"/>
  <c r="B141" i="3"/>
  <c r="C141" i="3"/>
  <c r="B142" i="3"/>
  <c r="C142" i="3"/>
  <c r="B143" i="3"/>
  <c r="C143" i="3"/>
  <c r="B144" i="3"/>
  <c r="C144" i="3"/>
  <c r="B145" i="3"/>
  <c r="C145" i="3"/>
  <c r="B146" i="3"/>
  <c r="C146" i="3"/>
  <c r="B147" i="3"/>
  <c r="C147" i="3"/>
  <c r="B148" i="3"/>
  <c r="C148" i="3"/>
  <c r="B149" i="3"/>
  <c r="C149" i="3"/>
  <c r="B150" i="3"/>
  <c r="C150" i="3"/>
  <c r="B151" i="3"/>
  <c r="C151" i="3"/>
  <c r="B152" i="3"/>
  <c r="C152" i="3"/>
  <c r="B153" i="3"/>
  <c r="C153" i="3"/>
  <c r="B154" i="3"/>
  <c r="C154" i="3"/>
  <c r="B155" i="3"/>
  <c r="C155" i="3"/>
  <c r="B156" i="3"/>
  <c r="C156" i="3"/>
  <c r="B157" i="3"/>
  <c r="C157" i="3"/>
  <c r="B158" i="3"/>
  <c r="C158" i="3"/>
  <c r="B159" i="3"/>
  <c r="C159" i="3"/>
  <c r="B160" i="3"/>
  <c r="C160" i="3"/>
  <c r="B161" i="3"/>
  <c r="C161" i="3"/>
  <c r="B162" i="3"/>
  <c r="C162" i="3"/>
  <c r="B163" i="3"/>
  <c r="C163" i="3"/>
  <c r="B164" i="3"/>
  <c r="C164" i="3"/>
  <c r="B165" i="3"/>
  <c r="C165" i="3"/>
  <c r="B166" i="3"/>
  <c r="C166" i="3"/>
  <c r="B167" i="3"/>
  <c r="C167" i="3"/>
  <c r="B168" i="3"/>
  <c r="C168" i="3"/>
  <c r="B169" i="3"/>
  <c r="C169" i="3"/>
  <c r="B170" i="3"/>
  <c r="C170" i="3"/>
  <c r="B171" i="3"/>
  <c r="C171" i="3"/>
  <c r="B172" i="3"/>
  <c r="C172" i="3"/>
  <c r="B173" i="3"/>
  <c r="C173" i="3"/>
  <c r="B174" i="3"/>
  <c r="C174" i="3"/>
  <c r="B175" i="3"/>
  <c r="C175" i="3"/>
  <c r="B176" i="3"/>
  <c r="C176" i="3"/>
  <c r="B177" i="3"/>
  <c r="C177" i="3"/>
  <c r="B178" i="3"/>
  <c r="C178" i="3"/>
  <c r="B179" i="3"/>
  <c r="C179" i="3"/>
  <c r="B180" i="3"/>
  <c r="C180" i="3"/>
  <c r="B181" i="3"/>
  <c r="C181" i="3"/>
  <c r="B182" i="3"/>
  <c r="C182" i="3"/>
  <c r="B183" i="3"/>
  <c r="C183" i="3"/>
  <c r="B184" i="3"/>
  <c r="C184" i="3"/>
  <c r="B185" i="3"/>
  <c r="C185" i="3"/>
  <c r="B186" i="3"/>
  <c r="C186" i="3"/>
  <c r="B187" i="3"/>
  <c r="C187" i="3"/>
  <c r="B188" i="3"/>
  <c r="C188" i="3"/>
  <c r="B189" i="3"/>
  <c r="C189" i="3"/>
  <c r="B190" i="3"/>
  <c r="C190" i="3"/>
  <c r="B191" i="3"/>
  <c r="C191" i="3"/>
  <c r="B192" i="3"/>
  <c r="C192" i="3"/>
  <c r="B193" i="3"/>
  <c r="C193" i="3"/>
  <c r="B194" i="3"/>
  <c r="C194" i="3"/>
  <c r="B195" i="3"/>
  <c r="C195" i="3"/>
  <c r="B196" i="3"/>
  <c r="C196" i="3"/>
  <c r="B197" i="3"/>
  <c r="C197" i="3"/>
  <c r="B198" i="3"/>
  <c r="C198" i="3"/>
  <c r="B199" i="3"/>
  <c r="C199" i="3"/>
  <c r="B200" i="3"/>
  <c r="C200" i="3"/>
  <c r="B201" i="3"/>
  <c r="C201" i="3"/>
  <c r="B202" i="3"/>
  <c r="C202" i="3"/>
  <c r="B203" i="3"/>
  <c r="C203" i="3"/>
  <c r="B204" i="3"/>
  <c r="C204" i="3"/>
  <c r="B205" i="3"/>
  <c r="C205" i="3"/>
  <c r="B206" i="3"/>
  <c r="C206" i="3"/>
  <c r="B207" i="3"/>
  <c r="C207" i="3"/>
  <c r="B208" i="3"/>
  <c r="C208" i="3"/>
  <c r="B209" i="3"/>
  <c r="C209" i="3"/>
  <c r="B210" i="3"/>
  <c r="C210" i="3"/>
  <c r="B211" i="3"/>
  <c r="C211" i="3"/>
  <c r="B212" i="3"/>
  <c r="C212" i="3"/>
  <c r="B213" i="3"/>
  <c r="C213" i="3"/>
  <c r="B214" i="3"/>
  <c r="C214" i="3"/>
  <c r="B215" i="3"/>
  <c r="C215" i="3"/>
  <c r="B216" i="3"/>
  <c r="C216" i="3"/>
  <c r="B217" i="3"/>
  <c r="C217" i="3"/>
  <c r="B218" i="3"/>
  <c r="C218" i="3"/>
  <c r="B219" i="3"/>
  <c r="C219" i="3"/>
  <c r="B220" i="3"/>
  <c r="C220" i="3"/>
  <c r="B221" i="3"/>
  <c r="C221" i="3"/>
  <c r="B222" i="3"/>
  <c r="C222" i="3"/>
  <c r="B223" i="3"/>
  <c r="C223" i="3"/>
  <c r="B224" i="3"/>
  <c r="C224" i="3"/>
  <c r="B225" i="3"/>
  <c r="C225" i="3"/>
  <c r="B226" i="3"/>
  <c r="C226" i="3"/>
  <c r="B227" i="3"/>
  <c r="C227" i="3"/>
  <c r="B228" i="3"/>
  <c r="C228" i="3"/>
  <c r="B229" i="3"/>
  <c r="C229" i="3"/>
  <c r="B230" i="3"/>
  <c r="C230" i="3"/>
  <c r="B231" i="3"/>
  <c r="C231" i="3"/>
  <c r="B232" i="3"/>
  <c r="C232" i="3"/>
  <c r="B233" i="3"/>
  <c r="C233" i="3"/>
  <c r="B234" i="3"/>
  <c r="C234" i="3"/>
  <c r="B235" i="3"/>
  <c r="C235" i="3"/>
  <c r="B236" i="3"/>
  <c r="C236" i="3"/>
  <c r="B237" i="3"/>
  <c r="C237" i="3"/>
  <c r="B238" i="3"/>
  <c r="C238" i="3"/>
  <c r="B239" i="3"/>
  <c r="C239" i="3"/>
  <c r="B240" i="3"/>
  <c r="C240" i="3"/>
  <c r="B241" i="3"/>
  <c r="C241" i="3"/>
  <c r="B242" i="3"/>
  <c r="C242" i="3"/>
  <c r="B243" i="3"/>
  <c r="C243" i="3"/>
  <c r="B244" i="3"/>
  <c r="C244" i="3"/>
  <c r="B245" i="3"/>
  <c r="C245" i="3"/>
  <c r="B246" i="3"/>
  <c r="C246" i="3"/>
  <c r="B247" i="3"/>
  <c r="C247" i="3"/>
  <c r="B248" i="3"/>
  <c r="C248" i="3"/>
  <c r="B249" i="3"/>
  <c r="C249" i="3"/>
  <c r="B250" i="3"/>
  <c r="C250" i="3"/>
  <c r="B251" i="3"/>
  <c r="C251" i="3"/>
  <c r="B252" i="3"/>
  <c r="C252" i="3"/>
  <c r="B253" i="3"/>
  <c r="C253" i="3"/>
  <c r="B254" i="3"/>
  <c r="C254" i="3"/>
  <c r="B255" i="3"/>
  <c r="C255" i="3"/>
  <c r="B256" i="3"/>
  <c r="C256" i="3"/>
  <c r="B257" i="3"/>
  <c r="C257" i="3"/>
  <c r="B258" i="3"/>
  <c r="C258" i="3"/>
  <c r="B259" i="3"/>
  <c r="C259" i="3"/>
  <c r="B260" i="3"/>
  <c r="C260" i="3"/>
  <c r="B261" i="3"/>
  <c r="C261" i="3"/>
  <c r="B262" i="3"/>
  <c r="C262" i="3"/>
  <c r="B263" i="3"/>
  <c r="C263" i="3"/>
  <c r="B264" i="3"/>
  <c r="C264" i="3"/>
  <c r="B265" i="3"/>
  <c r="C265" i="3"/>
  <c r="B266" i="3"/>
  <c r="C266" i="3"/>
  <c r="B267" i="3"/>
  <c r="C267" i="3"/>
  <c r="B268" i="3"/>
  <c r="C268" i="3"/>
  <c r="B269" i="3"/>
  <c r="C269" i="3"/>
  <c r="B270" i="3"/>
  <c r="C270" i="3"/>
  <c r="B271" i="3"/>
  <c r="C271" i="3"/>
  <c r="B272" i="3"/>
  <c r="C272" i="3"/>
  <c r="B273" i="3"/>
  <c r="C273" i="3"/>
  <c r="B274" i="3"/>
  <c r="C274" i="3"/>
  <c r="B275" i="3"/>
  <c r="C275" i="3"/>
  <c r="B276" i="3"/>
  <c r="C276" i="3"/>
  <c r="B277" i="3"/>
  <c r="C277" i="3"/>
  <c r="B278" i="3"/>
  <c r="C278" i="3"/>
  <c r="B279" i="3"/>
  <c r="C279" i="3"/>
  <c r="B280" i="3"/>
  <c r="C280" i="3"/>
  <c r="B281" i="3"/>
  <c r="C281" i="3"/>
  <c r="B282" i="3"/>
  <c r="C282" i="3"/>
  <c r="B283" i="3"/>
  <c r="C283" i="3"/>
  <c r="B284" i="3"/>
  <c r="C284" i="3"/>
  <c r="B285" i="3"/>
  <c r="C285" i="3"/>
  <c r="B286" i="3"/>
  <c r="C286" i="3"/>
  <c r="B287" i="3"/>
  <c r="C287" i="3"/>
  <c r="B288" i="3"/>
  <c r="C288" i="3"/>
  <c r="B289" i="3"/>
  <c r="C289" i="3"/>
  <c r="B290" i="3"/>
  <c r="C290" i="3"/>
  <c r="B291" i="3"/>
  <c r="C291" i="3"/>
  <c r="B292" i="3"/>
  <c r="C292" i="3"/>
  <c r="B293" i="3"/>
  <c r="C293" i="3"/>
  <c r="B294" i="3"/>
  <c r="C294" i="3"/>
  <c r="B295" i="3"/>
  <c r="C295" i="3"/>
  <c r="B296" i="3"/>
  <c r="C296" i="3"/>
  <c r="B297" i="3"/>
  <c r="C297" i="3"/>
  <c r="B298" i="3"/>
  <c r="C298" i="3"/>
  <c r="B299" i="3"/>
  <c r="C299" i="3"/>
  <c r="B300" i="3"/>
  <c r="C300" i="3"/>
  <c r="B301" i="3"/>
  <c r="C301" i="3"/>
  <c r="B302" i="3"/>
  <c r="C302" i="3"/>
  <c r="B303" i="3"/>
  <c r="C303" i="3"/>
  <c r="B304" i="3"/>
  <c r="C304" i="3"/>
  <c r="B305" i="3"/>
  <c r="C305" i="3"/>
  <c r="B306" i="3"/>
  <c r="C306" i="3"/>
  <c r="B307" i="3"/>
  <c r="C307" i="3"/>
  <c r="B308" i="3"/>
  <c r="C308" i="3"/>
  <c r="B309" i="3"/>
  <c r="C309" i="3"/>
  <c r="B310" i="3"/>
  <c r="C310" i="3"/>
  <c r="B311" i="3"/>
  <c r="C311" i="3"/>
  <c r="B312" i="3"/>
  <c r="C312" i="3"/>
  <c r="B313" i="3"/>
  <c r="C313" i="3"/>
  <c r="B314" i="3"/>
  <c r="C314" i="3"/>
  <c r="B315" i="3"/>
  <c r="C315" i="3"/>
  <c r="B316" i="3"/>
  <c r="C316" i="3"/>
  <c r="B317" i="3"/>
  <c r="C317" i="3"/>
  <c r="B318" i="3"/>
  <c r="C318" i="3"/>
  <c r="B319" i="3"/>
  <c r="C319" i="3"/>
  <c r="B320" i="3"/>
  <c r="C320" i="3"/>
  <c r="B321" i="3"/>
  <c r="C321" i="3"/>
  <c r="B322" i="3"/>
  <c r="C322" i="3"/>
  <c r="B323" i="3"/>
  <c r="C323" i="3"/>
  <c r="B324" i="3"/>
  <c r="C324" i="3"/>
  <c r="B325" i="3"/>
  <c r="C325" i="3"/>
  <c r="B326" i="3"/>
  <c r="C326" i="3"/>
  <c r="B327" i="3"/>
  <c r="C327" i="3"/>
  <c r="B328" i="3"/>
  <c r="C328" i="3"/>
  <c r="B329" i="3"/>
  <c r="C329" i="3"/>
  <c r="B330" i="3"/>
  <c r="C330" i="3"/>
  <c r="B331" i="3"/>
  <c r="C331" i="3"/>
  <c r="B332" i="3"/>
  <c r="C332" i="3"/>
  <c r="B333" i="3"/>
  <c r="C333" i="3"/>
  <c r="B334" i="3"/>
  <c r="C334" i="3"/>
  <c r="B335" i="3"/>
  <c r="C335" i="3"/>
  <c r="B336" i="3"/>
  <c r="C336" i="3"/>
  <c r="B337" i="3"/>
  <c r="C337" i="3"/>
  <c r="B338" i="3"/>
  <c r="C338" i="3"/>
  <c r="B339" i="3"/>
  <c r="C339" i="3"/>
  <c r="B340" i="3"/>
  <c r="C340" i="3"/>
  <c r="B341" i="3"/>
  <c r="C341" i="3"/>
  <c r="B342" i="3"/>
  <c r="C342" i="3"/>
  <c r="B343" i="3"/>
  <c r="C343" i="3"/>
  <c r="B1" i="3"/>
  <c r="C1" i="3"/>
  <c r="D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1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" i="3"/>
  <c r="G54" i="1"/>
  <c r="F54" i="1"/>
  <c r="D54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" i="2"/>
  <c r="F5" i="1"/>
  <c r="A638" i="1" l="1"/>
  <c r="A621" i="1"/>
  <c r="A604" i="1"/>
  <c r="A585" i="1"/>
  <c r="A568" i="1"/>
  <c r="A551" i="1"/>
  <c r="A536" i="1"/>
  <c r="A519" i="1"/>
  <c r="A502" i="1"/>
  <c r="A485" i="1"/>
  <c r="A466" i="1"/>
  <c r="A450" i="1"/>
  <c r="A434" i="1"/>
  <c r="A417" i="1"/>
  <c r="A400" i="1"/>
  <c r="A383" i="1"/>
  <c r="A366" i="1"/>
  <c r="A347" i="1"/>
  <c r="A330" i="1"/>
  <c r="A313" i="1"/>
  <c r="A298" i="1"/>
  <c r="A280" i="1"/>
  <c r="A264" i="1"/>
  <c r="A247" i="1"/>
  <c r="A230" i="1"/>
  <c r="A213" i="1"/>
  <c r="A194" i="1"/>
  <c r="A179" i="1"/>
  <c r="A162" i="1"/>
  <c r="A145" i="1"/>
  <c r="A126" i="1"/>
  <c r="A111" i="1"/>
  <c r="A92" i="1"/>
  <c r="A75" i="1"/>
  <c r="A58" i="1"/>
  <c r="A43" i="1"/>
  <c r="A639" i="1" l="1"/>
  <c r="A622" i="1"/>
  <c r="A605" i="1"/>
  <c r="A586" i="1"/>
  <c r="A569" i="1"/>
  <c r="A552" i="1"/>
  <c r="A537" i="1"/>
  <c r="A520" i="1"/>
  <c r="A503" i="1"/>
  <c r="A486" i="1"/>
  <c r="A467" i="1"/>
  <c r="A451" i="1"/>
  <c r="A435" i="1"/>
  <c r="A418" i="1"/>
  <c r="A401" i="1"/>
  <c r="A384" i="1"/>
  <c r="A367" i="1"/>
  <c r="A348" i="1"/>
  <c r="A331" i="1"/>
  <c r="A314" i="1"/>
  <c r="A299" i="1"/>
  <c r="A281" i="1"/>
  <c r="A265" i="1"/>
  <c r="A248" i="1"/>
  <c r="A231" i="1"/>
  <c r="A214" i="1"/>
  <c r="A195" i="1"/>
  <c r="A180" i="1"/>
  <c r="A163" i="1"/>
  <c r="A146" i="1"/>
  <c r="A127" i="1"/>
  <c r="A112" i="1"/>
  <c r="A93" i="1"/>
  <c r="A76" i="1"/>
  <c r="A59" i="1"/>
  <c r="A44" i="1"/>
  <c r="A640" i="1" l="1"/>
  <c r="A623" i="1"/>
  <c r="A606" i="1"/>
  <c r="A587" i="1"/>
  <c r="A570" i="1"/>
  <c r="A553" i="1"/>
  <c r="A538" i="1"/>
  <c r="A521" i="1"/>
  <c r="A504" i="1"/>
  <c r="A487" i="1"/>
  <c r="A468" i="1"/>
  <c r="A452" i="1"/>
  <c r="A436" i="1"/>
  <c r="A419" i="1"/>
  <c r="A402" i="1"/>
  <c r="A385" i="1"/>
  <c r="A368" i="1"/>
  <c r="A349" i="1"/>
  <c r="A332" i="1"/>
  <c r="A315" i="1"/>
  <c r="A300" i="1"/>
  <c r="A282" i="1"/>
  <c r="A266" i="1"/>
  <c r="A249" i="1"/>
  <c r="A232" i="1"/>
  <c r="A215" i="1"/>
  <c r="A196" i="1"/>
  <c r="A181" i="1"/>
  <c r="A164" i="1"/>
  <c r="A147" i="1"/>
  <c r="A128" i="1"/>
  <c r="A113" i="1"/>
  <c r="A94" i="1"/>
  <c r="A77" i="1"/>
  <c r="A60" i="1"/>
  <c r="A45" i="1"/>
  <c r="A641" i="1" l="1"/>
  <c r="A624" i="1"/>
  <c r="A607" i="1"/>
  <c r="A588" i="1"/>
  <c r="A571" i="1"/>
  <c r="A554" i="1"/>
  <c r="A539" i="1"/>
  <c r="A522" i="1"/>
  <c r="A505" i="1"/>
  <c r="A488" i="1"/>
  <c r="A469" i="1"/>
  <c r="A453" i="1"/>
  <c r="A437" i="1"/>
  <c r="A420" i="1"/>
  <c r="A403" i="1"/>
  <c r="A386" i="1"/>
  <c r="A369" i="1"/>
  <c r="A350" i="1"/>
  <c r="A333" i="1"/>
  <c r="A316" i="1"/>
  <c r="A301" i="1"/>
  <c r="A283" i="1"/>
  <c r="A267" i="1"/>
  <c r="A250" i="1"/>
  <c r="A233" i="1"/>
  <c r="A216" i="1"/>
  <c r="A197" i="1"/>
  <c r="A182" i="1"/>
  <c r="A165" i="1"/>
  <c r="A148" i="1"/>
  <c r="A129" i="1"/>
  <c r="A114" i="1"/>
  <c r="A95" i="1"/>
  <c r="A78" i="1"/>
  <c r="A61" i="1"/>
  <c r="A46" i="1"/>
  <c r="A642" i="1" l="1"/>
  <c r="A625" i="1"/>
  <c r="A608" i="1"/>
  <c r="A589" i="1"/>
  <c r="A572" i="1"/>
  <c r="A555" i="1"/>
  <c r="A540" i="1"/>
  <c r="A523" i="1"/>
  <c r="A506" i="1"/>
  <c r="A489" i="1"/>
  <c r="A470" i="1"/>
  <c r="A454" i="1"/>
  <c r="A438" i="1"/>
  <c r="A421" i="1"/>
  <c r="A404" i="1"/>
  <c r="A387" i="1"/>
  <c r="A370" i="1"/>
  <c r="A351" i="1"/>
  <c r="A334" i="1"/>
  <c r="A317" i="1"/>
  <c r="A302" i="1"/>
  <c r="A284" i="1"/>
  <c r="A268" i="1"/>
  <c r="A251" i="1"/>
  <c r="A234" i="1"/>
  <c r="A217" i="1"/>
  <c r="A198" i="1"/>
  <c r="A183" i="1"/>
  <c r="A166" i="1"/>
  <c r="A149" i="1"/>
  <c r="A130" i="1"/>
  <c r="A115" i="1"/>
  <c r="A96" i="1"/>
  <c r="A79" i="1"/>
  <c r="A62" i="1"/>
  <c r="A47" i="1"/>
  <c r="A643" i="1" l="1"/>
  <c r="A626" i="1"/>
  <c r="A609" i="1"/>
  <c r="A590" i="1"/>
  <c r="A573" i="1"/>
  <c r="A556" i="1"/>
  <c r="A541" i="1"/>
  <c r="A524" i="1"/>
  <c r="A507" i="1"/>
  <c r="A490" i="1"/>
  <c r="A471" i="1"/>
  <c r="A455" i="1"/>
  <c r="A439" i="1"/>
  <c r="A422" i="1"/>
  <c r="A405" i="1"/>
  <c r="A388" i="1"/>
  <c r="A371" i="1"/>
  <c r="A352" i="1"/>
  <c r="A335" i="1"/>
  <c r="A318" i="1"/>
  <c r="A303" i="1"/>
  <c r="A285" i="1"/>
  <c r="A269" i="1"/>
  <c r="A252" i="1"/>
  <c r="A235" i="1"/>
  <c r="A218" i="1"/>
  <c r="A199" i="1"/>
  <c r="A184" i="1"/>
  <c r="A167" i="1"/>
  <c r="A150" i="1"/>
  <c r="A131" i="1"/>
  <c r="A116" i="1"/>
  <c r="A97" i="1"/>
  <c r="A80" i="1"/>
  <c r="A63" i="1"/>
  <c r="A48" i="1"/>
  <c r="A644" i="1" l="1"/>
  <c r="A627" i="1"/>
  <c r="A610" i="1"/>
  <c r="A591" i="1"/>
  <c r="A574" i="1"/>
  <c r="A557" i="1"/>
  <c r="A542" i="1"/>
  <c r="A525" i="1"/>
  <c r="A508" i="1"/>
  <c r="A491" i="1"/>
  <c r="A472" i="1"/>
  <c r="A456" i="1"/>
  <c r="A440" i="1"/>
  <c r="A423" i="1"/>
  <c r="A406" i="1"/>
  <c r="A389" i="1"/>
  <c r="A372" i="1"/>
  <c r="A353" i="1"/>
  <c r="A336" i="1"/>
  <c r="A319" i="1"/>
  <c r="A304" i="1"/>
  <c r="A286" i="1"/>
  <c r="A270" i="1"/>
  <c r="A253" i="1"/>
  <c r="A236" i="1"/>
  <c r="A219" i="1"/>
  <c r="A200" i="1"/>
  <c r="A185" i="1"/>
  <c r="A168" i="1"/>
  <c r="A151" i="1"/>
  <c r="A132" i="1"/>
  <c r="A117" i="1"/>
  <c r="A98" i="1"/>
  <c r="A81" i="1"/>
  <c r="A64" i="1"/>
  <c r="A49" i="1"/>
  <c r="A645" i="1" l="1"/>
  <c r="A628" i="1"/>
  <c r="A611" i="1"/>
  <c r="A592" i="1"/>
  <c r="A575" i="1"/>
  <c r="A558" i="1"/>
  <c r="A543" i="1"/>
  <c r="A526" i="1"/>
  <c r="A509" i="1"/>
  <c r="A492" i="1"/>
  <c r="A473" i="1"/>
  <c r="A457" i="1"/>
  <c r="A441" i="1"/>
  <c r="A424" i="1"/>
  <c r="A407" i="1"/>
  <c r="A390" i="1"/>
  <c r="A373" i="1"/>
  <c r="A354" i="1"/>
  <c r="A337" i="1"/>
  <c r="A320" i="1"/>
  <c r="A305" i="1"/>
  <c r="A287" i="1"/>
  <c r="A271" i="1"/>
  <c r="A254" i="1"/>
  <c r="A237" i="1"/>
  <c r="A220" i="1"/>
  <c r="A201" i="1"/>
  <c r="A186" i="1"/>
  <c r="A169" i="1"/>
  <c r="A152" i="1"/>
  <c r="A133" i="1"/>
  <c r="A118" i="1"/>
  <c r="A99" i="1"/>
  <c r="A82" i="1"/>
  <c r="A65" i="1"/>
  <c r="A50" i="1"/>
  <c r="A646" i="1" l="1"/>
  <c r="A629" i="1"/>
  <c r="A612" i="1"/>
  <c r="A593" i="1"/>
  <c r="A576" i="1"/>
  <c r="A559" i="1"/>
  <c r="A544" i="1"/>
  <c r="A527" i="1"/>
  <c r="A510" i="1"/>
  <c r="A493" i="1"/>
  <c r="A474" i="1"/>
  <c r="A458" i="1"/>
  <c r="A442" i="1"/>
  <c r="A425" i="1"/>
  <c r="A408" i="1"/>
  <c r="A391" i="1"/>
  <c r="A374" i="1"/>
  <c r="A355" i="1"/>
  <c r="A338" i="1"/>
  <c r="A321" i="1"/>
  <c r="A306" i="1"/>
  <c r="A288" i="1"/>
  <c r="A272" i="1"/>
  <c r="A255" i="1"/>
  <c r="A238" i="1"/>
  <c r="A221" i="1"/>
  <c r="A202" i="1"/>
  <c r="A187" i="1"/>
  <c r="A170" i="1"/>
  <c r="A153" i="1"/>
  <c r="A134" i="1"/>
  <c r="A119" i="1"/>
  <c r="A100" i="1"/>
  <c r="A83" i="1"/>
  <c r="A66" i="1"/>
  <c r="A51" i="1"/>
  <c r="A647" i="1" l="1"/>
  <c r="A630" i="1"/>
  <c r="A613" i="1"/>
  <c r="A594" i="1"/>
  <c r="A577" i="1"/>
  <c r="A560" i="1"/>
  <c r="A545" i="1"/>
  <c r="A528" i="1"/>
  <c r="A511" i="1"/>
  <c r="A494" i="1"/>
  <c r="A475" i="1"/>
  <c r="A459" i="1"/>
  <c r="A443" i="1"/>
  <c r="A426" i="1"/>
  <c r="A409" i="1"/>
  <c r="A392" i="1"/>
  <c r="A375" i="1"/>
  <c r="A356" i="1"/>
  <c r="A339" i="1"/>
  <c r="A322" i="1"/>
  <c r="A307" i="1"/>
  <c r="A289" i="1"/>
  <c r="A273" i="1"/>
  <c r="A256" i="1"/>
  <c r="A239" i="1"/>
  <c r="A222" i="1"/>
  <c r="A203" i="1"/>
  <c r="A188" i="1"/>
  <c r="A171" i="1"/>
  <c r="A154" i="1"/>
  <c r="A135" i="1"/>
  <c r="A120" i="1"/>
  <c r="A101" i="1"/>
  <c r="A84" i="1"/>
  <c r="A67" i="1"/>
  <c r="A52" i="1"/>
  <c r="A648" i="1" l="1"/>
  <c r="A631" i="1"/>
  <c r="A614" i="1"/>
  <c r="A595" i="1"/>
  <c r="A578" i="1"/>
  <c r="A561" i="1"/>
  <c r="A546" i="1"/>
  <c r="A529" i="1"/>
  <c r="A512" i="1"/>
  <c r="A495" i="1"/>
  <c r="A476" i="1"/>
  <c r="A460" i="1"/>
  <c r="A444" i="1"/>
  <c r="A427" i="1"/>
  <c r="A410" i="1"/>
  <c r="A393" i="1"/>
  <c r="A376" i="1"/>
  <c r="A357" i="1"/>
  <c r="A340" i="1"/>
  <c r="A323" i="1"/>
  <c r="A308" i="1"/>
  <c r="A290" i="1"/>
  <c r="A274" i="1"/>
  <c r="A257" i="1"/>
  <c r="A240" i="1"/>
  <c r="A223" i="1"/>
  <c r="A204" i="1"/>
  <c r="A189" i="1"/>
  <c r="A172" i="1"/>
  <c r="A155" i="1"/>
  <c r="A136" i="1"/>
  <c r="A121" i="1"/>
  <c r="A102" i="1"/>
  <c r="A85" i="1"/>
  <c r="A68" i="1"/>
  <c r="A53" i="1"/>
  <c r="A596" i="1" l="1"/>
  <c r="A579" i="1"/>
  <c r="A562" i="1"/>
  <c r="A477" i="1"/>
  <c r="A461" i="1"/>
  <c r="A358" i="1"/>
  <c r="A341" i="1"/>
  <c r="A324" i="1"/>
  <c r="A291" i="1"/>
  <c r="A205" i="1"/>
  <c r="A137" i="1"/>
  <c r="A103" i="1"/>
  <c r="A86" i="1"/>
  <c r="A69" i="1"/>
  <c r="A597" i="1" l="1"/>
  <c r="A580" i="1"/>
  <c r="A563" i="1"/>
  <c r="A478" i="1"/>
  <c r="A359" i="1"/>
  <c r="A342" i="1"/>
  <c r="A325" i="1"/>
  <c r="A206" i="1"/>
  <c r="A138" i="1"/>
  <c r="A104" i="1"/>
  <c r="A87" i="1"/>
  <c r="A70" i="1"/>
  <c r="D27" i="2" l="1"/>
  <c r="D14" i="2"/>
  <c r="D19" i="2"/>
  <c r="D246" i="2"/>
  <c r="D20" i="2"/>
  <c r="D47" i="2"/>
  <c r="D4" i="2"/>
  <c r="D3" i="2"/>
  <c r="D747" i="2"/>
  <c r="C16" i="2"/>
  <c r="B20" i="2"/>
  <c r="D16" i="2"/>
  <c r="B27" i="2"/>
  <c r="C747" i="2"/>
  <c r="B14" i="2"/>
  <c r="B747" i="2"/>
  <c r="B47" i="2"/>
  <c r="B16" i="2"/>
  <c r="B19" i="2"/>
  <c r="G279" i="1" l="1"/>
  <c r="D5" i="1"/>
  <c r="G285" i="1"/>
  <c r="G8" i="1"/>
  <c r="G5" i="1"/>
  <c r="D6" i="1"/>
  <c r="G13" i="1"/>
  <c r="G15" i="1"/>
  <c r="D285" i="1"/>
  <c r="D8" i="1"/>
  <c r="D19" i="1"/>
  <c r="G6" i="1"/>
  <c r="D17" i="1"/>
  <c r="G14" i="1"/>
  <c r="D13" i="1"/>
  <c r="G17" i="1"/>
  <c r="D279" i="1"/>
  <c r="G10" i="1"/>
  <c r="D14" i="1"/>
  <c r="G18" i="1"/>
  <c r="D7" i="1"/>
  <c r="D10" i="1"/>
  <c r="D16" i="1"/>
  <c r="G19" i="1"/>
  <c r="G9" i="1"/>
  <c r="B3" i="2"/>
  <c r="D15" i="1"/>
  <c r="D9" i="1"/>
  <c r="G7" i="1"/>
  <c r="D11" i="1"/>
  <c r="B4" i="2"/>
  <c r="D18" i="1"/>
  <c r="G12" i="1"/>
  <c r="D12" i="1"/>
  <c r="G16" i="1"/>
  <c r="G11" i="1"/>
  <c r="J376" i="3" l="1"/>
  <c r="J518" i="3"/>
  <c r="J422" i="3"/>
  <c r="J476" i="3"/>
  <c r="J736" i="3"/>
  <c r="J436" i="3"/>
  <c r="J462" i="3"/>
  <c r="J394" i="3"/>
  <c r="J496" i="3"/>
  <c r="J391" i="3"/>
  <c r="J375" i="3"/>
  <c r="J493" i="3"/>
  <c r="J530" i="3"/>
  <c r="J504" i="3"/>
  <c r="J525" i="3"/>
  <c r="J417" i="3"/>
  <c r="J739" i="3"/>
  <c r="J38" i="3"/>
  <c r="J508" i="3"/>
  <c r="J455" i="3"/>
  <c r="J383" i="3"/>
  <c r="J516" i="3"/>
  <c r="J371" i="3"/>
  <c r="J378" i="3"/>
  <c r="J491" i="3"/>
  <c r="J137" i="3"/>
  <c r="J404" i="3"/>
  <c r="J442" i="3"/>
  <c r="J20" i="3"/>
  <c r="J466" i="3"/>
  <c r="J735" i="3"/>
  <c r="J472" i="3"/>
  <c r="J450" i="3"/>
  <c r="J544" i="3"/>
  <c r="J169" i="3"/>
  <c r="J444" i="3"/>
  <c r="J362" i="3"/>
  <c r="J551" i="3"/>
  <c r="J515" i="3"/>
  <c r="J83" i="3"/>
  <c r="J489" i="3"/>
  <c r="J419" i="3"/>
  <c r="J743" i="3"/>
  <c r="J733" i="3"/>
  <c r="J415" i="3"/>
  <c r="J520" i="3"/>
  <c r="J379" i="3"/>
  <c r="J411" i="3"/>
  <c r="J401" i="3"/>
  <c r="J549" i="3"/>
  <c r="J36" i="3"/>
  <c r="J533" i="3"/>
  <c r="J485" i="3"/>
  <c r="J456" i="3"/>
  <c r="J731" i="3"/>
  <c r="J427" i="3"/>
  <c r="J745" i="3"/>
  <c r="J727" i="3"/>
  <c r="J511" i="3"/>
  <c r="J506" i="3"/>
  <c r="J547" i="3"/>
  <c r="J509" i="3"/>
  <c r="J420" i="3"/>
  <c r="J490" i="3"/>
  <c r="J487" i="3"/>
  <c r="J409" i="3"/>
  <c r="J4" i="3"/>
  <c r="J47" i="3"/>
  <c r="J399" i="3"/>
  <c r="J431" i="3"/>
  <c r="J729" i="3"/>
  <c r="J380" i="3"/>
  <c r="J477" i="3"/>
  <c r="J537" i="3"/>
  <c r="J397" i="3"/>
  <c r="J519" i="3"/>
  <c r="J413" i="3"/>
  <c r="J534" i="3"/>
  <c r="J461" i="3"/>
  <c r="J387" i="3"/>
  <c r="J388" i="3"/>
  <c r="J381" i="3"/>
  <c r="J451" i="3"/>
  <c r="J374" i="3"/>
  <c r="J507" i="3"/>
  <c r="J475" i="3"/>
  <c r="J464" i="3"/>
  <c r="J505" i="3"/>
  <c r="J473" i="3"/>
  <c r="J430" i="3"/>
  <c r="J384" i="3"/>
  <c r="J495" i="3"/>
  <c r="J16" i="3"/>
  <c r="J446" i="3"/>
  <c r="J535" i="3"/>
  <c r="J418" i="3"/>
  <c r="J546" i="3"/>
  <c r="J458" i="3"/>
  <c r="J503" i="3"/>
  <c r="J402" i="3"/>
  <c r="J449" i="3"/>
  <c r="J448" i="3"/>
  <c r="J428" i="3"/>
  <c r="J543" i="3"/>
  <c r="J488" i="3"/>
  <c r="J441" i="3"/>
  <c r="J744" i="3"/>
  <c r="J432" i="3"/>
  <c r="J471" i="3"/>
  <c r="J474" i="3"/>
  <c r="J463" i="3"/>
  <c r="J434" i="3"/>
  <c r="J510" i="3"/>
  <c r="J500" i="3"/>
  <c r="J492" i="3"/>
  <c r="J398" i="3"/>
  <c r="J517" i="3"/>
  <c r="J425" i="3"/>
  <c r="J232" i="3"/>
  <c r="J396" i="3"/>
  <c r="J426" i="3"/>
  <c r="J532" i="3"/>
  <c r="J484" i="3"/>
  <c r="J730" i="3"/>
  <c r="J414" i="3"/>
  <c r="J526" i="3"/>
  <c r="J728" i="3"/>
  <c r="J498" i="3"/>
  <c r="J741" i="3"/>
  <c r="J502" i="3"/>
  <c r="J454" i="3"/>
  <c r="J469" i="3"/>
  <c r="J424" i="3"/>
  <c r="J521" i="3"/>
  <c r="J412" i="3"/>
  <c r="J403" i="3"/>
  <c r="J77" i="3"/>
  <c r="J370" i="3"/>
  <c r="J539" i="3"/>
  <c r="J440" i="3"/>
  <c r="J406" i="3"/>
  <c r="J486" i="3"/>
  <c r="J541" i="3"/>
  <c r="J497" i="3"/>
  <c r="J386" i="3"/>
  <c r="J478" i="3"/>
  <c r="J19" i="3"/>
  <c r="J470" i="3"/>
  <c r="J529" i="3"/>
  <c r="J513" i="3"/>
  <c r="J423" i="3"/>
  <c r="J732" i="3"/>
  <c r="J407" i="3"/>
  <c r="J416" i="3"/>
  <c r="J460" i="3"/>
  <c r="J393" i="3"/>
  <c r="J429" i="3"/>
  <c r="J290" i="3"/>
  <c r="J373" i="3"/>
  <c r="J372" i="3"/>
  <c r="J480" i="3"/>
  <c r="J545" i="3"/>
  <c r="J452" i="3"/>
  <c r="J468" i="3"/>
  <c r="J528" i="3"/>
  <c r="J531" i="3"/>
  <c r="J385" i="3"/>
  <c r="J453" i="3"/>
  <c r="J382" i="3"/>
  <c r="J747" i="3"/>
  <c r="J435" i="3"/>
  <c r="J433" i="3"/>
  <c r="J523" i="3"/>
  <c r="J738" i="3"/>
  <c r="J501" i="3"/>
  <c r="J447" i="3"/>
  <c r="J389" i="3"/>
  <c r="J443" i="3"/>
  <c r="J37" i="3"/>
  <c r="J483" i="3"/>
  <c r="J527" i="3"/>
  <c r="J421" i="3"/>
  <c r="J465" i="3"/>
  <c r="J494" i="3"/>
  <c r="J14" i="3"/>
  <c r="J499" i="3"/>
  <c r="J542" i="3"/>
  <c r="J445" i="3"/>
  <c r="J550" i="3"/>
  <c r="J538" i="3"/>
  <c r="J548" i="3"/>
  <c r="J438" i="3"/>
  <c r="J395" i="3"/>
  <c r="J467" i="3"/>
  <c r="J512" i="3"/>
  <c r="J742" i="3"/>
  <c r="J737" i="3"/>
  <c r="J408" i="3"/>
  <c r="J734" i="3"/>
  <c r="J405" i="3"/>
  <c r="J536" i="3"/>
  <c r="J540" i="3"/>
  <c r="J439" i="3"/>
  <c r="J437" i="3"/>
  <c r="J459" i="3"/>
  <c r="J400" i="3"/>
  <c r="J457" i="3"/>
  <c r="J481" i="3"/>
  <c r="J524" i="3"/>
  <c r="J479" i="3"/>
  <c r="J482" i="3"/>
  <c r="J740" i="3"/>
  <c r="J392" i="3"/>
  <c r="J410" i="3"/>
  <c r="J514" i="3"/>
  <c r="J522" i="3"/>
  <c r="J27" i="3"/>
  <c r="J390" i="3"/>
  <c r="J3" i="3"/>
  <c r="J377" i="3"/>
  <c r="C47" i="2" l="1"/>
  <c r="C3" i="2" l="1"/>
  <c r="C20" i="2" l="1"/>
  <c r="C4" i="2" l="1"/>
  <c r="C27" i="2" l="1"/>
  <c r="C14" i="2" l="1"/>
  <c r="C19" i="2" l="1"/>
  <c r="J26" i="3" l="1"/>
  <c r="J32" i="3"/>
  <c r="D32" i="2"/>
  <c r="D176" i="2"/>
  <c r="D72" i="2"/>
  <c r="D35" i="2"/>
  <c r="D101" i="2"/>
  <c r="D15" i="2"/>
  <c r="D11" i="2"/>
  <c r="D13" i="2"/>
  <c r="D114" i="2"/>
  <c r="D5" i="2"/>
  <c r="D87" i="2"/>
  <c r="D52" i="2"/>
  <c r="D24" i="2"/>
  <c r="D121" i="2"/>
  <c r="D18" i="2"/>
  <c r="D206" i="2"/>
  <c r="D202" i="2"/>
  <c r="D70" i="2"/>
  <c r="D189" i="2"/>
  <c r="D130" i="2"/>
  <c r="D103" i="2"/>
  <c r="D228" i="2"/>
  <c r="D99" i="2"/>
  <c r="D259" i="2"/>
  <c r="D275" i="2"/>
  <c r="D146" i="2"/>
  <c r="D260" i="2"/>
  <c r="D310" i="2"/>
  <c r="D163" i="2"/>
  <c r="D104" i="2"/>
  <c r="D232" i="2"/>
  <c r="D441" i="2"/>
  <c r="D251" i="2"/>
  <c r="D295" i="2"/>
  <c r="D293" i="2"/>
  <c r="D520" i="2"/>
  <c r="D286" i="2"/>
  <c r="D353" i="2"/>
  <c r="D560" i="2"/>
  <c r="D576" i="2"/>
  <c r="D592" i="2"/>
  <c r="D528" i="2"/>
  <c r="D350" i="2"/>
  <c r="D537" i="2"/>
  <c r="D355" i="2"/>
  <c r="D486" i="2"/>
  <c r="D548" i="2"/>
  <c r="D523" i="2"/>
  <c r="D602" i="2"/>
  <c r="D618" i="2"/>
  <c r="D634" i="2"/>
  <c r="D650" i="2"/>
  <c r="D666" i="2"/>
  <c r="D682" i="2"/>
  <c r="D698" i="2"/>
  <c r="D714" i="2"/>
  <c r="D730" i="2"/>
  <c r="D9" i="2"/>
  <c r="D54" i="2"/>
  <c r="D61" i="2"/>
  <c r="D162" i="2"/>
  <c r="D374" i="2"/>
  <c r="D323" i="2"/>
  <c r="D127" i="2"/>
  <c r="D45" i="2"/>
  <c r="D211" i="2"/>
  <c r="D85" i="2"/>
  <c r="D185" i="2"/>
  <c r="D161" i="2"/>
  <c r="D89" i="2"/>
  <c r="D44" i="2"/>
  <c r="D164" i="2"/>
  <c r="D134" i="2"/>
  <c r="D219" i="2"/>
  <c r="D195" i="2"/>
  <c r="D213" i="2"/>
  <c r="D381" i="2"/>
  <c r="D440" i="2"/>
  <c r="D311" i="2"/>
  <c r="D322" i="2"/>
  <c r="D332" i="2"/>
  <c r="D340" i="2"/>
  <c r="D561" i="2"/>
  <c r="D577" i="2"/>
  <c r="D593" i="2"/>
  <c r="D529" i="2"/>
  <c r="D467" i="2"/>
  <c r="D349" i="2"/>
  <c r="D487" i="2"/>
  <c r="D544" i="2"/>
  <c r="D359" i="2"/>
  <c r="D386" i="2"/>
  <c r="D603" i="2"/>
  <c r="D619" i="2"/>
  <c r="D635" i="2"/>
  <c r="D651" i="2"/>
  <c r="D667" i="2"/>
  <c r="D683" i="2"/>
  <c r="D699" i="2"/>
  <c r="D715" i="2"/>
  <c r="D731" i="2"/>
  <c r="D372" i="2"/>
  <c r="D26" i="2"/>
  <c r="D41" i="2"/>
  <c r="D84" i="2"/>
  <c r="D261" i="2"/>
  <c r="D210" i="2"/>
  <c r="D172" i="2"/>
  <c r="D120" i="2"/>
  <c r="D186" i="2"/>
  <c r="D375" i="2"/>
  <c r="D224" i="2"/>
  <c r="D292" i="2"/>
  <c r="D170" i="2"/>
  <c r="D379" i="2"/>
  <c r="D188" i="2"/>
  <c r="D252" i="2"/>
  <c r="D237" i="2"/>
  <c r="D316" i="2"/>
  <c r="D283" i="2"/>
  <c r="D395" i="2"/>
  <c r="D518" i="2"/>
  <c r="D132" i="2"/>
  <c r="D330" i="2"/>
  <c r="D562" i="2"/>
  <c r="D578" i="2"/>
  <c r="D594" i="2"/>
  <c r="D509" i="2"/>
  <c r="D498" i="2"/>
  <c r="D479" i="2"/>
  <c r="D485" i="2"/>
  <c r="D328" i="2"/>
  <c r="D545" i="2"/>
  <c r="D492" i="2"/>
  <c r="D550" i="2"/>
  <c r="D604" i="2"/>
  <c r="D620" i="2"/>
  <c r="D636" i="2"/>
  <c r="D652" i="2"/>
  <c r="D668" i="2"/>
  <c r="D684" i="2"/>
  <c r="D700" i="2"/>
  <c r="D716" i="2"/>
  <c r="D732" i="2"/>
  <c r="D12" i="2"/>
  <c r="D96" i="2"/>
  <c r="D55" i="2"/>
  <c r="D401" i="2"/>
  <c r="D58" i="2"/>
  <c r="D28" i="2"/>
  <c r="D100" i="2"/>
  <c r="D184" i="2"/>
  <c r="D159" i="2"/>
  <c r="D220" i="2"/>
  <c r="D128" i="2"/>
  <c r="D451" i="2"/>
  <c r="D262" i="2"/>
  <c r="D273" i="2"/>
  <c r="D231" i="2"/>
  <c r="D448" i="2"/>
  <c r="D382" i="2"/>
  <c r="D205" i="2"/>
  <c r="D284" i="2"/>
  <c r="D362" i="2"/>
  <c r="D306" i="2"/>
  <c r="D74" i="2"/>
  <c r="D38" i="2"/>
  <c r="D525" i="2"/>
  <c r="D563" i="2"/>
  <c r="D579" i="2"/>
  <c r="D346" i="2"/>
  <c r="D531" i="2"/>
  <c r="D190" i="2"/>
  <c r="D480" i="2"/>
  <c r="D129" i="2"/>
  <c r="D546" i="2"/>
  <c r="D493" i="2"/>
  <c r="D521" i="2"/>
  <c r="D605" i="2"/>
  <c r="D621" i="2"/>
  <c r="D637" i="2"/>
  <c r="D653" i="2"/>
  <c r="D669" i="2"/>
  <c r="D685" i="2"/>
  <c r="D701" i="2"/>
  <c r="D717" i="2"/>
  <c r="D733" i="2"/>
  <c r="D6" i="2"/>
  <c r="D23" i="2"/>
  <c r="D370" i="2"/>
  <c r="D46" i="2"/>
  <c r="D117" i="2"/>
  <c r="D376" i="2"/>
  <c r="D380" i="2"/>
  <c r="D393" i="2"/>
  <c r="D179" i="2"/>
  <c r="D17" i="2"/>
  <c r="D68" i="2"/>
  <c r="D255" i="2"/>
  <c r="D377" i="2"/>
  <c r="D126" i="2"/>
  <c r="D256" i="2"/>
  <c r="D191" i="2"/>
  <c r="D454" i="2"/>
  <c r="D254" i="2"/>
  <c r="D270" i="2"/>
  <c r="D301" i="2"/>
  <c r="D400" i="2"/>
  <c r="D519" i="2"/>
  <c r="D236" i="2"/>
  <c r="D356" i="2"/>
  <c r="D564" i="2"/>
  <c r="D580" i="2"/>
  <c r="D497" i="2"/>
  <c r="D473" i="2"/>
  <c r="D534" i="2"/>
  <c r="D481" i="2"/>
  <c r="D453" i="2"/>
  <c r="D169" i="2"/>
  <c r="D494" i="2"/>
  <c r="D496" i="2"/>
  <c r="D606" i="2"/>
  <c r="D622" i="2"/>
  <c r="D638" i="2"/>
  <c r="D654" i="2"/>
  <c r="D110" i="2"/>
  <c r="D39" i="2"/>
  <c r="D78" i="2"/>
  <c r="D80" i="2"/>
  <c r="D141" i="2"/>
  <c r="D385" i="2"/>
  <c r="D326" i="2"/>
  <c r="D92" i="2"/>
  <c r="D115" i="2"/>
  <c r="D216" i="2"/>
  <c r="D198" i="2"/>
  <c r="D266" i="2"/>
  <c r="D203" i="2"/>
  <c r="D63" i="2"/>
  <c r="D222" i="2"/>
  <c r="D434" i="2"/>
  <c r="D307" i="2"/>
  <c r="D383" i="2"/>
  <c r="D257" i="2"/>
  <c r="D389" i="2"/>
  <c r="D234" i="2"/>
  <c r="D336" i="2"/>
  <c r="D137" i="2"/>
  <c r="D565" i="2"/>
  <c r="D581" i="2"/>
  <c r="D367" i="2"/>
  <c r="D532" i="2"/>
  <c r="D535" i="2"/>
  <c r="D455" i="2"/>
  <c r="D468" i="2"/>
  <c r="D522" i="2"/>
  <c r="D503" i="2"/>
  <c r="D506" i="2"/>
  <c r="D607" i="2"/>
  <c r="D623" i="2"/>
  <c r="D639" i="2"/>
  <c r="D655" i="2"/>
  <c r="D671" i="2"/>
  <c r="D687" i="2"/>
  <c r="D703" i="2"/>
  <c r="D719" i="2"/>
  <c r="D735" i="2"/>
  <c r="D22" i="2"/>
  <c r="D40" i="2"/>
  <c r="D60" i="2"/>
  <c r="D59" i="2"/>
  <c r="D187" i="2"/>
  <c r="D138" i="2"/>
  <c r="D177" i="2"/>
  <c r="D109" i="2"/>
  <c r="D93" i="2"/>
  <c r="D438" i="2"/>
  <c r="D145" i="2"/>
  <c r="D124" i="2"/>
  <c r="D435" i="2"/>
  <c r="D86" i="2"/>
  <c r="D133" i="2"/>
  <c r="D339" i="2"/>
  <c r="D245" i="2"/>
  <c r="D327" i="2"/>
  <c r="D268" i="2"/>
  <c r="D282" i="2"/>
  <c r="D392" i="2"/>
  <c r="D171" i="2"/>
  <c r="D320" i="2"/>
  <c r="D345" i="2"/>
  <c r="D337" i="2"/>
  <c r="D21" i="2"/>
  <c r="D566" i="2"/>
  <c r="D582" i="2"/>
  <c r="D333" i="2"/>
  <c r="D466" i="2"/>
  <c r="D363" i="2"/>
  <c r="D476" i="2"/>
  <c r="D538" i="2"/>
  <c r="D541" i="2"/>
  <c r="D488" i="2"/>
  <c r="D366" i="2"/>
  <c r="D547" i="2"/>
  <c r="D551" i="2"/>
  <c r="D608" i="2"/>
  <c r="D624" i="2"/>
  <c r="D640" i="2"/>
  <c r="D656" i="2"/>
  <c r="D672" i="2"/>
  <c r="D688" i="2"/>
  <c r="D704" i="2"/>
  <c r="D720" i="2"/>
  <c r="D736" i="2"/>
  <c r="D31" i="2"/>
  <c r="D183" i="2"/>
  <c r="D160" i="2"/>
  <c r="D148" i="2"/>
  <c r="D147" i="2"/>
  <c r="D107" i="2"/>
  <c r="D265" i="2"/>
  <c r="D243" i="2"/>
  <c r="D384" i="2"/>
  <c r="D122" i="2"/>
  <c r="D452" i="2"/>
  <c r="D95" i="2"/>
  <c r="D271" i="2"/>
  <c r="D240" i="2"/>
  <c r="D267" i="2"/>
  <c r="D446" i="2"/>
  <c r="D111" i="2"/>
  <c r="D165" i="2"/>
  <c r="D442" i="2"/>
  <c r="D299" i="2"/>
  <c r="D331" i="2"/>
  <c r="D324" i="2"/>
  <c r="D567" i="2"/>
  <c r="D583" i="2"/>
  <c r="D360" i="2"/>
  <c r="D368" i="2"/>
  <c r="D329" i="2"/>
  <c r="D511" i="2"/>
  <c r="D482" i="2"/>
  <c r="D463" i="2"/>
  <c r="D489" i="2"/>
  <c r="D462" i="2"/>
  <c r="D357" i="2"/>
  <c r="D495" i="2"/>
  <c r="D507" i="2"/>
  <c r="D609" i="2"/>
  <c r="D625" i="2"/>
  <c r="D641" i="2"/>
  <c r="D657" i="2"/>
  <c r="D10" i="2"/>
  <c r="D49" i="2"/>
  <c r="D285" i="2"/>
  <c r="D75" i="2"/>
  <c r="D208" i="2"/>
  <c r="D197" i="2"/>
  <c r="D249" i="2"/>
  <c r="D118" i="2"/>
  <c r="D201" i="2"/>
  <c r="D269" i="2"/>
  <c r="D142" i="2"/>
  <c r="D119" i="2"/>
  <c r="D69" i="2"/>
  <c r="D281" i="2"/>
  <c r="D212" i="2"/>
  <c r="D238" i="2"/>
  <c r="D296" i="2"/>
  <c r="D450" i="2"/>
  <c r="D449" i="2"/>
  <c r="D437" i="2"/>
  <c r="D288" i="2"/>
  <c r="D341" i="2"/>
  <c r="D181" i="2"/>
  <c r="D552" i="2"/>
  <c r="D568" i="2"/>
  <c r="D584" i="2"/>
  <c r="D354" i="2"/>
  <c r="D361" i="2"/>
  <c r="D533" i="2"/>
  <c r="D483" i="2"/>
  <c r="D490" i="2"/>
  <c r="D465" i="2"/>
  <c r="D364" i="2"/>
  <c r="D135" i="2"/>
  <c r="D610" i="2"/>
  <c r="D626" i="2"/>
  <c r="D642" i="2"/>
  <c r="D658" i="2"/>
  <c r="D674" i="2"/>
  <c r="D690" i="2"/>
  <c r="D706" i="2"/>
  <c r="D722" i="2"/>
  <c r="D738" i="2"/>
  <c r="D88" i="2"/>
  <c r="D73" i="2"/>
  <c r="D76" i="2"/>
  <c r="D396" i="2"/>
  <c r="D149" i="2"/>
  <c r="D214" i="2"/>
  <c r="D248" i="2"/>
  <c r="D174" i="2"/>
  <c r="D325" i="2"/>
  <c r="D387" i="2"/>
  <c r="D102" i="2"/>
  <c r="D274" i="2"/>
  <c r="D250" i="2"/>
  <c r="D397" i="2"/>
  <c r="D218" i="2"/>
  <c r="D309" i="2"/>
  <c r="D319" i="2"/>
  <c r="D82" i="2"/>
  <c r="D272" i="2"/>
  <c r="D439" i="2"/>
  <c r="D313" i="2"/>
  <c r="D344" i="2"/>
  <c r="D83" i="2"/>
  <c r="D553" i="2"/>
  <c r="D569" i="2"/>
  <c r="D585" i="2"/>
  <c r="D342" i="2"/>
  <c r="D369" i="2"/>
  <c r="D539" i="2"/>
  <c r="D513" i="2"/>
  <c r="D514" i="2"/>
  <c r="D502" i="2"/>
  <c r="D461" i="2"/>
  <c r="D517" i="2"/>
  <c r="D595" i="2"/>
  <c r="D611" i="2"/>
  <c r="D627" i="2"/>
  <c r="D643" i="2"/>
  <c r="D659" i="2"/>
  <c r="D675" i="2"/>
  <c r="D691" i="2"/>
  <c r="D707" i="2"/>
  <c r="D723" i="2"/>
  <c r="D739" i="2"/>
  <c r="D34" i="2"/>
  <c r="D33" i="2"/>
  <c r="D378" i="2"/>
  <c r="D62" i="2"/>
  <c r="D71" i="2"/>
  <c r="D108" i="2"/>
  <c r="D48" i="2"/>
  <c r="D390" i="2"/>
  <c r="D143" i="2"/>
  <c r="D318" i="2"/>
  <c r="D226" i="2"/>
  <c r="D227" i="2"/>
  <c r="D264" i="2"/>
  <c r="D229" i="2"/>
  <c r="D373" i="2"/>
  <c r="D193" i="2"/>
  <c r="D388" i="2"/>
  <c r="D279" i="2"/>
  <c r="D302" i="2"/>
  <c r="D242" i="2"/>
  <c r="D280" i="2"/>
  <c r="D37" i="2"/>
  <c r="D554" i="2"/>
  <c r="D570" i="2"/>
  <c r="D586" i="2"/>
  <c r="D530" i="2"/>
  <c r="D540" i="2"/>
  <c r="D365" i="2"/>
  <c r="D515" i="2"/>
  <c r="D596" i="2"/>
  <c r="D612" i="2"/>
  <c r="D628" i="2"/>
  <c r="D644" i="2"/>
  <c r="D660" i="2"/>
  <c r="D676" i="2"/>
  <c r="D692" i="2"/>
  <c r="D708" i="2"/>
  <c r="D724" i="2"/>
  <c r="D740" i="2"/>
  <c r="D64" i="2"/>
  <c r="D8" i="2"/>
  <c r="D131" i="2"/>
  <c r="D180" i="2"/>
  <c r="D156" i="2"/>
  <c r="D154" i="2"/>
  <c r="D398" i="2"/>
  <c r="D443" i="2"/>
  <c r="D53" i="2"/>
  <c r="D371" i="2"/>
  <c r="D239" i="2"/>
  <c r="D225" i="2"/>
  <c r="D391" i="2"/>
  <c r="D139" i="2"/>
  <c r="D112" i="2"/>
  <c r="D300" i="2"/>
  <c r="D294" i="2"/>
  <c r="D277" i="2"/>
  <c r="D287" i="2"/>
  <c r="D297" i="2"/>
  <c r="D458" i="2"/>
  <c r="D555" i="2"/>
  <c r="D571" i="2"/>
  <c r="D587" i="2"/>
  <c r="D746" i="2"/>
  <c r="D536" i="2"/>
  <c r="D464" i="2"/>
  <c r="D504" i="2"/>
  <c r="D470" i="2"/>
  <c r="D597" i="2"/>
  <c r="D613" i="2"/>
  <c r="D629" i="2"/>
  <c r="D645" i="2"/>
  <c r="D661" i="2"/>
  <c r="D677" i="2"/>
  <c r="D693" i="2"/>
  <c r="D709" i="2"/>
  <c r="D725" i="2"/>
  <c r="D741" i="2"/>
  <c r="D29" i="2"/>
  <c r="D125" i="2"/>
  <c r="D167" i="2"/>
  <c r="D144" i="2"/>
  <c r="D209" i="2"/>
  <c r="D168" i="2"/>
  <c r="D217" i="2"/>
  <c r="D50" i="2"/>
  <c r="D43" i="2"/>
  <c r="D221" i="2"/>
  <c r="D97" i="2"/>
  <c r="D158" i="2"/>
  <c r="D447" i="2"/>
  <c r="D157" i="2"/>
  <c r="D253" i="2"/>
  <c r="D207" i="2"/>
  <c r="D233" i="2"/>
  <c r="D289" i="2"/>
  <c r="D315" i="2"/>
  <c r="D321" i="2"/>
  <c r="D335" i="2"/>
  <c r="D199" i="2"/>
  <c r="D556" i="2"/>
  <c r="D572" i="2"/>
  <c r="D588" i="2"/>
  <c r="D526" i="2"/>
  <c r="D474" i="2"/>
  <c r="D475" i="2"/>
  <c r="D477" i="2"/>
  <c r="D500" i="2"/>
  <c r="D113" i="2"/>
  <c r="D314" i="2"/>
  <c r="D460" i="2"/>
  <c r="D598" i="2"/>
  <c r="D614" i="2"/>
  <c r="D630" i="2"/>
  <c r="D646" i="2"/>
  <c r="D662" i="2"/>
  <c r="D678" i="2"/>
  <c r="D694" i="2"/>
  <c r="D710" i="2"/>
  <c r="D726" i="2"/>
  <c r="D742" i="2"/>
  <c r="D7" i="2"/>
  <c r="D81" i="2"/>
  <c r="D67" i="2"/>
  <c r="D90" i="2"/>
  <c r="D116" i="2"/>
  <c r="D230" i="2"/>
  <c r="D151" i="2"/>
  <c r="D106" i="2"/>
  <c r="D57" i="2"/>
  <c r="D178" i="2"/>
  <c r="D200" i="2"/>
  <c r="D247" i="2"/>
  <c r="D241" i="2"/>
  <c r="D66" i="2"/>
  <c r="D194" i="2"/>
  <c r="D317" i="2"/>
  <c r="D192" i="2"/>
  <c r="D394" i="2"/>
  <c r="D304" i="2"/>
  <c r="D338" i="2"/>
  <c r="D347" i="2"/>
  <c r="D557" i="2"/>
  <c r="D573" i="2"/>
  <c r="D589" i="2"/>
  <c r="D527" i="2"/>
  <c r="D471" i="2"/>
  <c r="D351" i="2"/>
  <c r="D484" i="2"/>
  <c r="D436" i="2"/>
  <c r="D543" i="2"/>
  <c r="D524" i="2"/>
  <c r="D505" i="2"/>
  <c r="D599" i="2"/>
  <c r="D615" i="2"/>
  <c r="D631" i="2"/>
  <c r="D647" i="2"/>
  <c r="D663" i="2"/>
  <c r="D679" i="2"/>
  <c r="D695" i="2"/>
  <c r="D711" i="2"/>
  <c r="D727" i="2"/>
  <c r="D743" i="2"/>
  <c r="D173" i="2"/>
  <c r="D204" i="2"/>
  <c r="D459" i="2"/>
  <c r="D600" i="2"/>
  <c r="D696" i="2"/>
  <c r="D105" i="2"/>
  <c r="D445" i="2"/>
  <c r="D30" i="2"/>
  <c r="D348" i="2"/>
  <c r="D601" i="2"/>
  <c r="D697" i="2"/>
  <c r="D79" i="2"/>
  <c r="D94" i="2"/>
  <c r="D244" i="2"/>
  <c r="D153" i="2"/>
  <c r="D478" i="2"/>
  <c r="D616" i="2"/>
  <c r="D702" i="2"/>
  <c r="D152" i="2"/>
  <c r="D51" i="2"/>
  <c r="D123" i="2"/>
  <c r="D303" i="2"/>
  <c r="D77" i="2"/>
  <c r="D499" i="2"/>
  <c r="D617" i="2"/>
  <c r="D705" i="2"/>
  <c r="D65" i="2"/>
  <c r="D175" i="2"/>
  <c r="D196" i="2"/>
  <c r="D558" i="2"/>
  <c r="D512" i="2"/>
  <c r="D632" i="2"/>
  <c r="D712" i="2"/>
  <c r="D549" i="2"/>
  <c r="D235" i="2"/>
  <c r="D305" i="2"/>
  <c r="D559" i="2"/>
  <c r="D633" i="2"/>
  <c r="D713" i="2"/>
  <c r="D140" i="2"/>
  <c r="D258" i="2"/>
  <c r="D263" i="2"/>
  <c r="D574" i="2"/>
  <c r="D501" i="2"/>
  <c r="D648" i="2"/>
  <c r="D718" i="2"/>
  <c r="D42" i="2"/>
  <c r="D223" i="2"/>
  <c r="D276" i="2"/>
  <c r="D575" i="2"/>
  <c r="D542" i="2"/>
  <c r="D649" i="2"/>
  <c r="D721" i="2"/>
  <c r="D352" i="2"/>
  <c r="D98" i="2"/>
  <c r="D278" i="2"/>
  <c r="D590" i="2"/>
  <c r="D491" i="2"/>
  <c r="D664" i="2"/>
  <c r="D728" i="2"/>
  <c r="D689" i="2"/>
  <c r="D25" i="2"/>
  <c r="D136" i="2"/>
  <c r="D291" i="2"/>
  <c r="D591" i="2"/>
  <c r="D665" i="2"/>
  <c r="D729" i="2"/>
  <c r="D308" i="2"/>
  <c r="D56" i="2"/>
  <c r="D155" i="2"/>
  <c r="D508" i="2"/>
  <c r="D516" i="2"/>
  <c r="D670" i="2"/>
  <c r="D734" i="2"/>
  <c r="D215" i="2"/>
  <c r="D166" i="2"/>
  <c r="D444" i="2"/>
  <c r="D343" i="2"/>
  <c r="D469" i="2"/>
  <c r="D673" i="2"/>
  <c r="D737" i="2"/>
  <c r="D457" i="2"/>
  <c r="D91" i="2"/>
  <c r="D399" i="2"/>
  <c r="D298" i="2"/>
  <c r="D472" i="2"/>
  <c r="D358" i="2"/>
  <c r="D680" i="2"/>
  <c r="D744" i="2"/>
  <c r="D686" i="2"/>
  <c r="D182" i="2"/>
  <c r="D150" i="2"/>
  <c r="D312" i="2"/>
  <c r="D510" i="2"/>
  <c r="D334" i="2"/>
  <c r="D681" i="2"/>
  <c r="D745" i="2"/>
  <c r="D290" i="2"/>
  <c r="D456" i="2"/>
  <c r="J801" i="3" l="1"/>
  <c r="J230" i="3"/>
  <c r="J125" i="3"/>
  <c r="J306" i="3"/>
  <c r="J660" i="3"/>
  <c r="J706" i="3"/>
  <c r="J705" i="3"/>
  <c r="J687" i="3"/>
  <c r="J776" i="3"/>
  <c r="J699" i="3"/>
  <c r="J698" i="3"/>
  <c r="J23" i="3"/>
  <c r="J713" i="3"/>
  <c r="J680" i="3"/>
  <c r="J629" i="3"/>
  <c r="J316" i="3"/>
  <c r="J40" i="3"/>
  <c r="J286" i="3"/>
  <c r="J103" i="3"/>
  <c r="J559" i="3"/>
  <c r="J123" i="3"/>
  <c r="J573" i="3"/>
  <c r="J151" i="3"/>
  <c r="J199" i="3"/>
  <c r="J168" i="3"/>
  <c r="J287" i="3"/>
  <c r="J131" i="3"/>
  <c r="J279" i="3"/>
  <c r="J8" i="3"/>
  <c r="J272" i="3"/>
  <c r="J76" i="3"/>
  <c r="J75" i="3"/>
  <c r="J187" i="3"/>
  <c r="J80" i="3"/>
  <c r="J117" i="3"/>
  <c r="J74" i="3"/>
  <c r="J28" i="3"/>
  <c r="J82" i="3"/>
  <c r="J644" i="3"/>
  <c r="J298" i="3"/>
  <c r="J674" i="3"/>
  <c r="J673" i="3"/>
  <c r="J590" i="3"/>
  <c r="J655" i="3"/>
  <c r="J798" i="3"/>
  <c r="J667" i="3"/>
  <c r="J666" i="3"/>
  <c r="J681" i="3"/>
  <c r="J648" i="3"/>
  <c r="J773" i="3"/>
  <c r="J597" i="3"/>
  <c r="J252" i="3"/>
  <c r="J213" i="3"/>
  <c r="J61" i="3"/>
  <c r="J293" i="3"/>
  <c r="J189" i="3"/>
  <c r="J30" i="3"/>
  <c r="J182" i="3"/>
  <c r="J347" i="3"/>
  <c r="J116" i="3"/>
  <c r="J321" i="3"/>
  <c r="J144" i="3"/>
  <c r="J294" i="3"/>
  <c r="J193" i="3"/>
  <c r="J31" i="3"/>
  <c r="J319" i="3"/>
  <c r="J18" i="3"/>
  <c r="J73" i="3"/>
  <c r="J268" i="3"/>
  <c r="J60" i="3"/>
  <c r="J52" i="3"/>
  <c r="J270" i="3"/>
  <c r="J690" i="3"/>
  <c r="J664" i="3"/>
  <c r="J314" i="3"/>
  <c r="J54" i="3"/>
  <c r="J107" i="3"/>
  <c r="J365" i="3"/>
  <c r="J658" i="3"/>
  <c r="J657" i="3"/>
  <c r="J278" i="3"/>
  <c r="J639" i="3"/>
  <c r="J761" i="3"/>
  <c r="J760" i="3"/>
  <c r="J651" i="3"/>
  <c r="J650" i="3"/>
  <c r="J665" i="3"/>
  <c r="J632" i="3"/>
  <c r="J113" i="3"/>
  <c r="J188" i="3"/>
  <c r="J349" i="3"/>
  <c r="J195" i="3"/>
  <c r="J39" i="3"/>
  <c r="J295" i="3"/>
  <c r="J70" i="3"/>
  <c r="J65" i="3"/>
  <c r="J215" i="3"/>
  <c r="J338" i="3"/>
  <c r="J90" i="3"/>
  <c r="J315" i="3"/>
  <c r="J167" i="3"/>
  <c r="J300" i="3"/>
  <c r="J10" i="3"/>
  <c r="J309" i="3"/>
  <c r="J22" i="3"/>
  <c r="J296" i="3"/>
  <c r="J51" i="3"/>
  <c r="J327" i="3"/>
  <c r="J49" i="3"/>
  <c r="J307" i="3"/>
  <c r="J87" i="3"/>
  <c r="J254" i="3"/>
  <c r="J183" i="3"/>
  <c r="J284" i="3"/>
  <c r="J55" i="3"/>
  <c r="J335" i="3"/>
  <c r="J59" i="3"/>
  <c r="J58" i="3"/>
  <c r="J708" i="3"/>
  <c r="J691" i="3"/>
  <c r="J642" i="3"/>
  <c r="J641" i="3"/>
  <c r="J720" i="3"/>
  <c r="J98" i="3"/>
  <c r="J623" i="3"/>
  <c r="J574" i="3"/>
  <c r="J797" i="3"/>
  <c r="J328" i="3"/>
  <c r="J635" i="3"/>
  <c r="J634" i="3"/>
  <c r="J649" i="3"/>
  <c r="J616" i="3"/>
  <c r="J749" i="3"/>
  <c r="J219" i="3"/>
  <c r="J64" i="3"/>
  <c r="J251" i="3"/>
  <c r="J202" i="3"/>
  <c r="J312" i="3"/>
  <c r="J25" i="3"/>
  <c r="J304" i="3"/>
  <c r="J67" i="3"/>
  <c r="J289" i="3"/>
  <c r="J72" i="3"/>
  <c r="J112" i="3"/>
  <c r="J789" i="3"/>
  <c r="J229" i="3"/>
  <c r="J369" i="3"/>
  <c r="J218" i="3"/>
  <c r="J238" i="3"/>
  <c r="J110" i="3"/>
  <c r="J245" i="3"/>
  <c r="J79" i="3"/>
  <c r="J5" i="3"/>
  <c r="J7" i="3"/>
  <c r="J205" i="3"/>
  <c r="J114" i="3"/>
  <c r="J237" i="3"/>
  <c r="J130" i="3"/>
  <c r="J596" i="3"/>
  <c r="J595" i="3"/>
  <c r="J675" i="3"/>
  <c r="J626" i="3"/>
  <c r="J625" i="3"/>
  <c r="J704" i="3"/>
  <c r="J607" i="3"/>
  <c r="J263" i="3"/>
  <c r="J129" i="3"/>
  <c r="J619" i="3"/>
  <c r="J618" i="3"/>
  <c r="J633" i="3"/>
  <c r="J600" i="3"/>
  <c r="J331" i="3"/>
  <c r="J771" i="3"/>
  <c r="J758" i="3"/>
  <c r="J170" i="3"/>
  <c r="J777" i="3"/>
  <c r="J134" i="3"/>
  <c r="J206" i="3"/>
  <c r="J42" i="3"/>
  <c r="J81" i="3"/>
  <c r="J233" i="3"/>
  <c r="J176" i="3"/>
  <c r="J764" i="3"/>
  <c r="J139" i="3"/>
  <c r="J784" i="3"/>
  <c r="J264" i="3"/>
  <c r="J783" i="3"/>
  <c r="J751" i="3"/>
  <c r="J212" i="3"/>
  <c r="J755" i="3"/>
  <c r="J339" i="3"/>
  <c r="J6" i="3"/>
  <c r="G78" i="3" s="1"/>
  <c r="J222" i="3"/>
  <c r="J191" i="3"/>
  <c r="J12" i="3"/>
  <c r="J13" i="3"/>
  <c r="J671" i="3"/>
  <c r="J613" i="3"/>
  <c r="J610" i="3"/>
  <c r="J609" i="3"/>
  <c r="J688" i="3"/>
  <c r="J718" i="3"/>
  <c r="J258" i="3"/>
  <c r="J567" i="3"/>
  <c r="J558" i="3"/>
  <c r="J603" i="3"/>
  <c r="J602" i="3"/>
  <c r="J617" i="3"/>
  <c r="J802" i="3"/>
  <c r="J267" i="3"/>
  <c r="J799" i="3"/>
  <c r="J292" i="3"/>
  <c r="J756" i="3"/>
  <c r="J164" i="3"/>
  <c r="J355" i="3"/>
  <c r="J11" i="3"/>
  <c r="J291" i="3"/>
  <c r="J235" i="3"/>
  <c r="J192" i="3"/>
  <c r="J96" i="3"/>
  <c r="J207" i="3"/>
  <c r="J227" i="3"/>
  <c r="J748" i="3"/>
  <c r="J250" i="3"/>
  <c r="J281" i="3"/>
  <c r="J363" i="3"/>
  <c r="J133" i="3"/>
  <c r="J63" i="3"/>
  <c r="J256" i="3"/>
  <c r="J2" i="3"/>
  <c r="J697" i="3"/>
  <c r="J772" i="3"/>
  <c r="J723" i="3"/>
  <c r="J135" i="3"/>
  <c r="J672" i="3"/>
  <c r="J768" i="3"/>
  <c r="J702" i="3"/>
  <c r="J140" i="3"/>
  <c r="J111" i="3"/>
  <c r="J196" i="3"/>
  <c r="J601" i="3"/>
  <c r="J358" i="3"/>
  <c r="J711" i="3"/>
  <c r="J243" i="3"/>
  <c r="J726" i="3"/>
  <c r="J308" i="3"/>
  <c r="J224" i="3"/>
  <c r="J795" i="3"/>
  <c r="J44" i="3"/>
  <c r="J104" i="3"/>
  <c r="J15" i="3"/>
  <c r="J276" i="3"/>
  <c r="J101" i="3"/>
  <c r="J317" i="3"/>
  <c r="J88" i="3"/>
  <c r="J763" i="3"/>
  <c r="J253" i="3"/>
  <c r="J785" i="3"/>
  <c r="J225" i="3"/>
  <c r="J792" i="3"/>
  <c r="J226" i="3"/>
  <c r="J342" i="3"/>
  <c r="J274" i="3"/>
  <c r="J246" i="3"/>
  <c r="J69" i="3"/>
  <c r="J86" i="3"/>
  <c r="J203" i="3"/>
  <c r="J757" i="3"/>
  <c r="J126" i="3"/>
  <c r="J190" i="3"/>
  <c r="J231" i="3"/>
  <c r="J557" i="3"/>
  <c r="J627" i="3"/>
  <c r="J800" i="3"/>
  <c r="J656" i="3"/>
  <c r="J686" i="3"/>
  <c r="J717" i="3"/>
  <c r="J716" i="3"/>
  <c r="J175" i="3"/>
  <c r="J770" i="3"/>
  <c r="J695" i="3"/>
  <c r="J24" i="3"/>
  <c r="J710" i="3"/>
  <c r="J329" i="3"/>
  <c r="J594" i="3"/>
  <c r="J89" i="3"/>
  <c r="J752" i="3"/>
  <c r="J163" i="3"/>
  <c r="J765" i="3"/>
  <c r="J305" i="3"/>
  <c r="J35" i="3"/>
  <c r="J194" i="3"/>
  <c r="J157" i="3"/>
  <c r="J746" i="3"/>
  <c r="J239" i="3"/>
  <c r="J787" i="3"/>
  <c r="J318" i="3"/>
  <c r="J786" i="3"/>
  <c r="J102" i="3"/>
  <c r="J361" i="3"/>
  <c r="J119" i="3"/>
  <c r="J333" i="3"/>
  <c r="J791" i="3"/>
  <c r="J266" i="3"/>
  <c r="J273" i="3"/>
  <c r="J612" i="3"/>
  <c r="J683" i="3"/>
  <c r="J659" i="3"/>
  <c r="J368" i="3"/>
  <c r="J364" i="3"/>
  <c r="J357" i="3"/>
  <c r="J640" i="3"/>
  <c r="J670" i="3"/>
  <c r="J701" i="3"/>
  <c r="J160" i="3"/>
  <c r="J700" i="3"/>
  <c r="J359" i="3"/>
  <c r="J775" i="3"/>
  <c r="J334" i="3"/>
  <c r="J679" i="3"/>
  <c r="J694" i="3"/>
  <c r="J240" i="3"/>
  <c r="J578" i="3"/>
  <c r="J186" i="3"/>
  <c r="J593" i="3"/>
  <c r="J161" i="3"/>
  <c r="J350" i="3"/>
  <c r="J310" i="3"/>
  <c r="J303" i="3"/>
  <c r="J66" i="3"/>
  <c r="J793" i="3"/>
  <c r="J586" i="3"/>
  <c r="J143" i="3"/>
  <c r="J585" i="3"/>
  <c r="J354" i="3"/>
  <c r="J142" i="3"/>
  <c r="J582" i="3"/>
  <c r="J124" i="3"/>
  <c r="J778" i="3"/>
  <c r="J198" i="3"/>
  <c r="J780" i="3"/>
  <c r="J255" i="3"/>
  <c r="J796" i="3"/>
  <c r="J262" i="3"/>
  <c r="J689" i="3"/>
  <c r="J29" i="3"/>
  <c r="J33" i="3"/>
  <c r="J282" i="3"/>
  <c r="J271" i="3"/>
  <c r="J692" i="3"/>
  <c r="J624" i="3"/>
  <c r="J654" i="3"/>
  <c r="J685" i="3"/>
  <c r="J684" i="3"/>
  <c r="J762" i="3"/>
  <c r="J663" i="3"/>
  <c r="J678" i="3"/>
  <c r="J725" i="3"/>
  <c r="J265" i="3"/>
  <c r="J562" i="3"/>
  <c r="J120" i="3"/>
  <c r="J577" i="3"/>
  <c r="J185" i="3"/>
  <c r="J794" i="3"/>
  <c r="J260" i="3"/>
  <c r="J348" i="3"/>
  <c r="J753" i="3"/>
  <c r="J241" i="3"/>
  <c r="J158" i="3"/>
  <c r="J788" i="3"/>
  <c r="J53" i="3"/>
  <c r="J570" i="3"/>
  <c r="J569" i="3"/>
  <c r="J325" i="3"/>
  <c r="J584" i="3"/>
  <c r="J269" i="3"/>
  <c r="J566" i="3"/>
  <c r="J145" i="3"/>
  <c r="J367" i="3"/>
  <c r="J216" i="3"/>
  <c r="J68" i="3"/>
  <c r="J779" i="3"/>
  <c r="J105" i="3"/>
  <c r="J209" i="3"/>
  <c r="J46" i="3"/>
  <c r="J754" i="3"/>
  <c r="J643" i="3"/>
  <c r="J611" i="3"/>
  <c r="J608" i="3"/>
  <c r="J766" i="3"/>
  <c r="J638" i="3"/>
  <c r="J669" i="3"/>
  <c r="J668" i="3"/>
  <c r="J759" i="3"/>
  <c r="J782" i="3"/>
  <c r="J647" i="3"/>
  <c r="J662" i="3"/>
  <c r="J709" i="3"/>
  <c r="J330" i="3"/>
  <c r="J172" i="3"/>
  <c r="J561" i="3"/>
  <c r="J85" i="3"/>
  <c r="J146" i="3"/>
  <c r="J352" i="3"/>
  <c r="J152" i="3"/>
  <c r="J781" i="3"/>
  <c r="J247" i="3"/>
  <c r="J790" i="3"/>
  <c r="J97" i="3"/>
  <c r="J587" i="3"/>
  <c r="J554" i="3"/>
  <c r="J48" i="3"/>
  <c r="J553" i="3"/>
  <c r="J174" i="3"/>
  <c r="J568" i="3"/>
  <c r="J201" i="3"/>
  <c r="J21" i="3"/>
  <c r="J581" i="3"/>
  <c r="J115" i="3"/>
  <c r="J580" i="3"/>
  <c r="J17" i="3"/>
  <c r="J346" i="3"/>
  <c r="J128" i="3"/>
  <c r="J301" i="3"/>
  <c r="J91" i="3"/>
  <c r="J299" i="3"/>
  <c r="J767" i="3"/>
  <c r="J583" i="3"/>
  <c r="J622" i="3"/>
  <c r="J653" i="3"/>
  <c r="J652" i="3"/>
  <c r="J631" i="3"/>
  <c r="J646" i="3"/>
  <c r="J693" i="3"/>
  <c r="J132" i="3"/>
  <c r="J210" i="3"/>
  <c r="J340" i="3"/>
  <c r="J211" i="3"/>
  <c r="J592" i="3"/>
  <c r="J275" i="3"/>
  <c r="J150" i="3"/>
  <c r="J351" i="3"/>
  <c r="J200" i="3"/>
  <c r="J221" i="3"/>
  <c r="J571" i="3"/>
  <c r="J108" i="3"/>
  <c r="J248" i="3"/>
  <c r="J552" i="3"/>
  <c r="J118" i="3"/>
  <c r="J337" i="3"/>
  <c r="J93" i="3"/>
  <c r="J565" i="3"/>
  <c r="J92" i="3"/>
  <c r="J564" i="3"/>
  <c r="J179" i="3"/>
  <c r="J579" i="3"/>
  <c r="J220" i="3"/>
  <c r="J162" i="3"/>
  <c r="J277" i="3"/>
  <c r="J724" i="3"/>
  <c r="J360" i="3"/>
  <c r="J769" i="3"/>
  <c r="J165" i="3"/>
  <c r="J606" i="3"/>
  <c r="J637" i="3"/>
  <c r="J636" i="3"/>
  <c r="J324" i="3"/>
  <c r="J9" i="3"/>
  <c r="J153" i="3"/>
  <c r="J750" i="3"/>
  <c r="J204" i="3"/>
  <c r="J615" i="3"/>
  <c r="J630" i="3"/>
  <c r="J677" i="3"/>
  <c r="J261" i="3"/>
  <c r="J332" i="3"/>
  <c r="J45" i="3"/>
  <c r="J576" i="3"/>
  <c r="J259" i="3"/>
  <c r="J343" i="3"/>
  <c r="J166" i="3"/>
  <c r="J178" i="3"/>
  <c r="J588" i="3"/>
  <c r="J43" i="3"/>
  <c r="J555" i="3"/>
  <c r="J154" i="3"/>
  <c r="J280" i="3"/>
  <c r="J71" i="3"/>
  <c r="J344" i="3"/>
  <c r="J214" i="3"/>
  <c r="J181" i="3"/>
  <c r="J249" i="3"/>
  <c r="J345" i="3"/>
  <c r="J109" i="3"/>
  <c r="J326" i="3"/>
  <c r="J356" i="3"/>
  <c r="J563" i="3"/>
  <c r="J159" i="3"/>
  <c r="J78" i="3"/>
  <c r="J676" i="3"/>
  <c r="J628" i="3"/>
  <c r="J155" i="3"/>
  <c r="J719" i="3"/>
  <c r="J95" i="3"/>
  <c r="J621" i="3"/>
  <c r="J620" i="3"/>
  <c r="J122" i="3"/>
  <c r="J244" i="3"/>
  <c r="J712" i="3"/>
  <c r="J173" i="3"/>
  <c r="J599" i="3"/>
  <c r="J614" i="3"/>
  <c r="J661" i="3"/>
  <c r="J84" i="3"/>
  <c r="J322" i="3"/>
  <c r="J127" i="3"/>
  <c r="J560" i="3"/>
  <c r="J99" i="3"/>
  <c r="J591" i="3"/>
  <c r="J136" i="3"/>
  <c r="J57" i="3"/>
  <c r="J572" i="3"/>
  <c r="J50" i="3"/>
  <c r="J156" i="3"/>
  <c r="J242" i="3"/>
  <c r="J62" i="3"/>
  <c r="J313" i="3"/>
  <c r="J149" i="3"/>
  <c r="J341" i="3"/>
  <c r="J197" i="3"/>
  <c r="J320" i="3"/>
  <c r="J177" i="3"/>
  <c r="J336" i="3"/>
  <c r="J236" i="3"/>
  <c r="J184" i="3"/>
  <c r="J707" i="3"/>
  <c r="J682" i="3"/>
  <c r="J285" i="3"/>
  <c r="J257" i="3"/>
  <c r="J774" i="3"/>
  <c r="J722" i="3"/>
  <c r="J56" i="3"/>
  <c r="J721" i="3"/>
  <c r="J147" i="3"/>
  <c r="J366" i="3"/>
  <c r="J703" i="3"/>
  <c r="J148" i="3"/>
  <c r="J605" i="3"/>
  <c r="J604" i="3"/>
  <c r="J715" i="3"/>
  <c r="J121" i="3"/>
  <c r="J714" i="3"/>
  <c r="J94" i="3"/>
  <c r="J696" i="3"/>
  <c r="J34" i="3"/>
  <c r="J598" i="3"/>
  <c r="J645" i="3"/>
  <c r="J283" i="3"/>
  <c r="J41" i="3"/>
  <c r="J311" i="3"/>
  <c r="J323" i="3"/>
  <c r="J353" i="3"/>
  <c r="J228" i="3"/>
  <c r="J575" i="3"/>
  <c r="J223" i="3"/>
  <c r="J589" i="3"/>
  <c r="J106" i="3"/>
  <c r="J556" i="3"/>
  <c r="J217" i="3"/>
  <c r="J297" i="3"/>
  <c r="J180" i="3"/>
  <c r="J302" i="3"/>
  <c r="J288" i="3"/>
  <c r="J208" i="3"/>
  <c r="J171" i="3"/>
  <c r="J138" i="3"/>
  <c r="J234" i="3"/>
  <c r="J141" i="3"/>
  <c r="J100" i="3"/>
  <c r="D763" i="2"/>
  <c r="D764" i="2"/>
  <c r="D789" i="2"/>
  <c r="D783" i="2"/>
  <c r="D761" i="2"/>
  <c r="D784" i="2"/>
  <c r="D748" i="2"/>
  <c r="D798" i="2"/>
  <c r="D797" i="2"/>
  <c r="D752" i="2"/>
  <c r="D785" i="2"/>
  <c r="D760" i="2"/>
  <c r="D753" i="2"/>
  <c r="D792" i="2"/>
  <c r="D786" i="2"/>
  <c r="D794" i="2"/>
  <c r="D781" i="2"/>
  <c r="D790" i="2"/>
  <c r="D793" i="2"/>
  <c r="D787" i="2"/>
  <c r="D777" i="2"/>
  <c r="D788" i="2"/>
  <c r="D768" i="2"/>
  <c r="D757" i="2"/>
  <c r="D756" i="2"/>
  <c r="G62" i="3"/>
  <c r="E16" i="3"/>
  <c r="G80" i="3"/>
  <c r="G67" i="3"/>
  <c r="G58" i="3"/>
  <c r="G57" i="3"/>
  <c r="G73" i="3"/>
  <c r="G84" i="3"/>
  <c r="E21" i="3"/>
  <c r="G39" i="3"/>
  <c r="E10" i="3"/>
  <c r="G66" i="3"/>
  <c r="E50" i="3"/>
  <c r="E45" i="3"/>
  <c r="E24" i="3"/>
  <c r="E29" i="3"/>
  <c r="E70" i="3"/>
  <c r="G38" i="3"/>
  <c r="G9" i="3"/>
  <c r="G82" i="3"/>
  <c r="E35" i="3"/>
  <c r="G17" i="3"/>
  <c r="E93" i="3"/>
  <c r="E27" i="3"/>
  <c r="E205" i="3"/>
  <c r="E158" i="3"/>
  <c r="E114" i="3"/>
  <c r="E151" i="3"/>
  <c r="E110" i="3"/>
  <c r="E136" i="3"/>
  <c r="E264" i="3"/>
  <c r="E273" i="3"/>
  <c r="G281" i="3"/>
  <c r="E199" i="3"/>
  <c r="G285" i="3"/>
  <c r="E282" i="3"/>
  <c r="G184" i="3"/>
  <c r="G152" i="3"/>
  <c r="E161" i="3"/>
  <c r="E190" i="3"/>
  <c r="E224" i="3"/>
  <c r="G263" i="3"/>
  <c r="G100" i="3"/>
  <c r="E336" i="3"/>
  <c r="G166" i="3"/>
  <c r="E343" i="3"/>
  <c r="E250" i="3"/>
  <c r="G134" i="3"/>
  <c r="E203" i="3"/>
  <c r="E115" i="3"/>
  <c r="E236" i="3"/>
  <c r="E271" i="3"/>
  <c r="E219" i="3"/>
  <c r="E262" i="3"/>
  <c r="E130" i="3"/>
  <c r="G208" i="3"/>
  <c r="E239" i="3"/>
  <c r="E259" i="3"/>
  <c r="E230" i="3"/>
  <c r="E184" i="3"/>
  <c r="E208" i="3"/>
  <c r="G257" i="3"/>
  <c r="E131" i="3"/>
  <c r="G259" i="3"/>
  <c r="E246" i="3"/>
  <c r="G167" i="3"/>
  <c r="G235" i="3"/>
  <c r="E330" i="3"/>
  <c r="G157" i="3"/>
  <c r="E176" i="3"/>
  <c r="G316" i="3"/>
  <c r="E206" i="3"/>
  <c r="G321" i="3"/>
  <c r="G172" i="3"/>
  <c r="G233" i="3"/>
  <c r="E274" i="3"/>
  <c r="E248" i="3"/>
  <c r="E113" i="3"/>
  <c r="E210" i="3"/>
  <c r="E329" i="3"/>
  <c r="E265" i="3"/>
  <c r="G276" i="3"/>
  <c r="E334" i="3"/>
  <c r="E255" i="3"/>
  <c r="G249" i="3"/>
  <c r="E147" i="3"/>
  <c r="D800" i="2"/>
  <c r="D755" i="2"/>
  <c r="D796" i="2"/>
  <c r="D749" i="2"/>
  <c r="D795" i="2"/>
  <c r="D802" i="2"/>
  <c r="D765" i="2"/>
  <c r="D750" i="2"/>
  <c r="D780" i="2"/>
  <c r="D779" i="2"/>
  <c r="D758" i="2"/>
  <c r="D769" i="2"/>
  <c r="D766" i="2"/>
  <c r="D759" i="2"/>
  <c r="D801" i="2"/>
  <c r="D767" i="2"/>
  <c r="D754" i="2"/>
  <c r="D782" i="2"/>
  <c r="D774" i="2"/>
  <c r="D751" i="2"/>
  <c r="D775" i="2"/>
  <c r="D773" i="2"/>
  <c r="D771" i="2"/>
  <c r="D791" i="2"/>
  <c r="D762" i="2"/>
  <c r="D772" i="2"/>
  <c r="D776" i="2"/>
  <c r="D799" i="2"/>
  <c r="D778" i="2"/>
  <c r="D770" i="2"/>
  <c r="D2" i="2"/>
  <c r="G187" i="3" l="1"/>
  <c r="G105" i="3"/>
  <c r="E221" i="3"/>
  <c r="E342" i="3"/>
  <c r="G113" i="3"/>
  <c r="E339" i="3"/>
  <c r="G261" i="3"/>
  <c r="E275" i="3"/>
  <c r="G335" i="3"/>
  <c r="G224" i="3"/>
  <c r="G272" i="3"/>
  <c r="G262" i="3"/>
  <c r="E268" i="3"/>
  <c r="G210" i="3"/>
  <c r="G196" i="3"/>
  <c r="G170" i="3"/>
  <c r="G211" i="3"/>
  <c r="E192" i="3"/>
  <c r="H192" i="3" s="1"/>
  <c r="E178" i="3"/>
  <c r="G319" i="3"/>
  <c r="G138" i="3"/>
  <c r="E139" i="3"/>
  <c r="E121" i="3"/>
  <c r="G141" i="3"/>
  <c r="G225" i="3"/>
  <c r="E257" i="3"/>
  <c r="G334" i="3"/>
  <c r="G277" i="3"/>
  <c r="G213" i="3"/>
  <c r="E235" i="3"/>
  <c r="E223" i="3"/>
  <c r="G11" i="3"/>
  <c r="G35" i="3"/>
  <c r="G83" i="3"/>
  <c r="G91" i="3"/>
  <c r="E60" i="3"/>
  <c r="G79" i="3"/>
  <c r="E89" i="3"/>
  <c r="G33" i="3"/>
  <c r="E12" i="3"/>
  <c r="G16" i="3"/>
  <c r="G30" i="3"/>
  <c r="E68" i="3"/>
  <c r="G332" i="3"/>
  <c r="E214" i="3"/>
  <c r="G247" i="3"/>
  <c r="E332" i="3"/>
  <c r="G178" i="3"/>
  <c r="G104" i="3"/>
  <c r="E299" i="3"/>
  <c r="G201" i="3"/>
  <c r="G314" i="3"/>
  <c r="G252" i="3"/>
  <c r="G298" i="3"/>
  <c r="E298" i="3"/>
  <c r="G71" i="3"/>
  <c r="E168" i="3"/>
  <c r="G282" i="3"/>
  <c r="G290" i="3"/>
  <c r="G120" i="3"/>
  <c r="G133" i="3"/>
  <c r="G112" i="3"/>
  <c r="E119" i="3"/>
  <c r="E225" i="3"/>
  <c r="E174" i="3"/>
  <c r="E53" i="3"/>
  <c r="E187" i="3"/>
  <c r="E204" i="3"/>
  <c r="G343" i="3"/>
  <c r="G256" i="3"/>
  <c r="E322" i="3"/>
  <c r="E73" i="3"/>
  <c r="F73" i="3" s="1"/>
  <c r="E302" i="3"/>
  <c r="G336" i="3"/>
  <c r="E18" i="3"/>
  <c r="E86" i="3"/>
  <c r="E2" i="3"/>
  <c r="E51" i="3"/>
  <c r="E83" i="3"/>
  <c r="G72" i="3"/>
  <c r="E32" i="3"/>
  <c r="E14" i="3"/>
  <c r="G15" i="3"/>
  <c r="G96" i="3"/>
  <c r="E65" i="3"/>
  <c r="E66" i="3"/>
  <c r="E103" i="3"/>
  <c r="E290" i="3"/>
  <c r="E150" i="3"/>
  <c r="G271" i="3"/>
  <c r="G328" i="3"/>
  <c r="G193" i="3"/>
  <c r="G212" i="3"/>
  <c r="G162" i="3"/>
  <c r="E155" i="3"/>
  <c r="E294" i="3"/>
  <c r="E258" i="3"/>
  <c r="E281" i="3"/>
  <c r="G149" i="3"/>
  <c r="E142" i="3"/>
  <c r="E301" i="3"/>
  <c r="E285" i="3"/>
  <c r="G176" i="3"/>
  <c r="E286" i="3"/>
  <c r="E183" i="3"/>
  <c r="G207" i="3"/>
  <c r="G286" i="3"/>
  <c r="E218" i="3"/>
  <c r="H218" i="3" s="1"/>
  <c r="G289" i="3"/>
  <c r="E266" i="3"/>
  <c r="G146" i="3"/>
  <c r="G186" i="3"/>
  <c r="E311" i="3"/>
  <c r="G232" i="3"/>
  <c r="G307" i="3"/>
  <c r="E326" i="3"/>
  <c r="G156" i="3"/>
  <c r="G89" i="3"/>
  <c r="E85" i="3"/>
  <c r="G76" i="3"/>
  <c r="G77" i="3"/>
  <c r="E23" i="3"/>
  <c r="G97" i="3"/>
  <c r="G74" i="3"/>
  <c r="E77" i="3"/>
  <c r="E58" i="3"/>
  <c r="G23" i="3"/>
  <c r="E100" i="3"/>
  <c r="G94" i="3"/>
  <c r="G342" i="3"/>
  <c r="E105" i="3"/>
  <c r="E237" i="3"/>
  <c r="G327" i="3"/>
  <c r="G258" i="3"/>
  <c r="E129" i="3"/>
  <c r="E106" i="3"/>
  <c r="E331" i="3"/>
  <c r="E270" i="3"/>
  <c r="G198" i="3"/>
  <c r="E120" i="3"/>
  <c r="G163" i="3"/>
  <c r="G106" i="3"/>
  <c r="E307" i="3"/>
  <c r="H307" i="3" s="1"/>
  <c r="G69" i="3"/>
  <c r="E233" i="3"/>
  <c r="E202" i="3"/>
  <c r="G303" i="3"/>
  <c r="E238" i="3"/>
  <c r="E123" i="3"/>
  <c r="E200" i="3"/>
  <c r="E313" i="3"/>
  <c r="G194" i="3"/>
  <c r="E185" i="3"/>
  <c r="E308" i="3"/>
  <c r="G234" i="3"/>
  <c r="E164" i="3"/>
  <c r="E327" i="3"/>
  <c r="G190" i="3"/>
  <c r="E229" i="3"/>
  <c r="H229" i="3" s="1"/>
  <c r="E251" i="3"/>
  <c r="E9" i="3"/>
  <c r="E17" i="3"/>
  <c r="E101" i="3"/>
  <c r="G90" i="3"/>
  <c r="E79" i="3"/>
  <c r="E37" i="3"/>
  <c r="G81" i="3"/>
  <c r="G13" i="3"/>
  <c r="E80" i="3"/>
  <c r="G19" i="3"/>
  <c r="E91" i="3"/>
  <c r="E98" i="3"/>
  <c r="E263" i="3"/>
  <c r="G148" i="3"/>
  <c r="G121" i="3"/>
  <c r="E126" i="3"/>
  <c r="F126" i="3" s="1"/>
  <c r="E104" i="3"/>
  <c r="E188" i="3"/>
  <c r="E145" i="3"/>
  <c r="G248" i="3"/>
  <c r="E198" i="3"/>
  <c r="G326" i="3"/>
  <c r="E304" i="3"/>
  <c r="G236" i="3"/>
  <c r="G244" i="3"/>
  <c r="G191" i="3"/>
  <c r="G5" i="3"/>
  <c r="E170" i="3"/>
  <c r="G325" i="3"/>
  <c r="G324" i="3"/>
  <c r="G266" i="3"/>
  <c r="E217" i="3"/>
  <c r="H217" i="3" s="1"/>
  <c r="E111" i="3"/>
  <c r="G322" i="3"/>
  <c r="G220" i="3"/>
  <c r="G155" i="3"/>
  <c r="G253" i="3"/>
  <c r="G254" i="3"/>
  <c r="G291" i="3"/>
  <c r="E215" i="3"/>
  <c r="G265" i="3"/>
  <c r="G136" i="3"/>
  <c r="G311" i="3"/>
  <c r="E38" i="3"/>
  <c r="E6" i="3"/>
  <c r="E20" i="3"/>
  <c r="G29" i="3"/>
  <c r="G7" i="3"/>
  <c r="G56" i="3"/>
  <c r="G26" i="3"/>
  <c r="E81" i="3"/>
  <c r="G88" i="3"/>
  <c r="G8" i="3"/>
  <c r="E3" i="3"/>
  <c r="E13" i="3"/>
  <c r="G159" i="3"/>
  <c r="G312" i="3"/>
  <c r="G111" i="3"/>
  <c r="E296" i="3"/>
  <c r="E244" i="3"/>
  <c r="E300" i="3"/>
  <c r="G179" i="3"/>
  <c r="E216" i="3"/>
  <c r="E288" i="3"/>
  <c r="F288" i="3" s="1"/>
  <c r="E162" i="3"/>
  <c r="E232" i="3"/>
  <c r="E107" i="3"/>
  <c r="E226" i="3"/>
  <c r="G239" i="3"/>
  <c r="G274" i="3"/>
  <c r="E177" i="3"/>
  <c r="E338" i="3"/>
  <c r="E241" i="3"/>
  <c r="G125" i="3"/>
  <c r="E305" i="3"/>
  <c r="G293" i="3"/>
  <c r="E306" i="3"/>
  <c r="E249" i="3"/>
  <c r="E71" i="3"/>
  <c r="G164" i="3"/>
  <c r="E140" i="3"/>
  <c r="E127" i="3"/>
  <c r="E193" i="3"/>
  <c r="G197" i="3"/>
  <c r="E333" i="3"/>
  <c r="G250" i="3"/>
  <c r="G86" i="3"/>
  <c r="G28" i="3"/>
  <c r="E30" i="3"/>
  <c r="E22" i="3"/>
  <c r="G45" i="3"/>
  <c r="E62" i="3"/>
  <c r="G12" i="3"/>
  <c r="G101" i="3"/>
  <c r="G40" i="3"/>
  <c r="G64" i="3"/>
  <c r="G53" i="3"/>
  <c r="G98" i="3"/>
  <c r="E175" i="3"/>
  <c r="G154" i="3"/>
  <c r="E112" i="3"/>
  <c r="E260" i="3"/>
  <c r="E315" i="3"/>
  <c r="F315" i="3" s="1"/>
  <c r="G296" i="3"/>
  <c r="G132" i="3"/>
  <c r="G108" i="3"/>
  <c r="E148" i="3"/>
  <c r="E141" i="3"/>
  <c r="G169" i="3"/>
  <c r="E279" i="3"/>
  <c r="E195" i="3"/>
  <c r="G223" i="3"/>
  <c r="G275" i="3"/>
  <c r="G145" i="3"/>
  <c r="G117" i="3"/>
  <c r="G122" i="3"/>
  <c r="E269" i="3"/>
  <c r="E222" i="3"/>
  <c r="E284" i="3"/>
  <c r="H284" i="3" s="1"/>
  <c r="E211" i="3"/>
  <c r="G139" i="3"/>
  <c r="G129" i="3"/>
  <c r="G216" i="3"/>
  <c r="G161" i="3"/>
  <c r="E189" i="3"/>
  <c r="E135" i="3"/>
  <c r="E180" i="3"/>
  <c r="G195" i="3"/>
  <c r="G297" i="3"/>
  <c r="E25" i="3"/>
  <c r="E48" i="3"/>
  <c r="G51" i="3"/>
  <c r="G10" i="3"/>
  <c r="G41" i="3"/>
  <c r="G42" i="3"/>
  <c r="E11" i="3"/>
  <c r="E54" i="3"/>
  <c r="G3" i="3"/>
  <c r="G34" i="3"/>
  <c r="G87" i="3"/>
  <c r="G288" i="3"/>
  <c r="E323" i="3"/>
  <c r="E320" i="3"/>
  <c r="G205" i="3"/>
  <c r="G230" i="3"/>
  <c r="E295" i="3"/>
  <c r="G131" i="3"/>
  <c r="E159" i="3"/>
  <c r="E173" i="3"/>
  <c r="G302" i="3"/>
  <c r="E194" i="3"/>
  <c r="G103" i="3"/>
  <c r="G214" i="3"/>
  <c r="G260" i="3"/>
  <c r="G278" i="3"/>
  <c r="G183" i="3"/>
  <c r="E220" i="3"/>
  <c r="G177" i="3"/>
  <c r="E283" i="3"/>
  <c r="E293" i="3"/>
  <c r="E134" i="3"/>
  <c r="G115" i="3"/>
  <c r="G199" i="3"/>
  <c r="G221" i="3"/>
  <c r="E316" i="3"/>
  <c r="E132" i="3"/>
  <c r="G165" i="3"/>
  <c r="E209" i="3"/>
  <c r="E242" i="3"/>
  <c r="H242" i="3" s="1"/>
  <c r="E318" i="3"/>
  <c r="E90" i="3"/>
  <c r="E56" i="3"/>
  <c r="E31" i="3"/>
  <c r="E67" i="3"/>
  <c r="G60" i="3"/>
  <c r="G44" i="3"/>
  <c r="G47" i="3"/>
  <c r="E64" i="3"/>
  <c r="G20" i="3"/>
  <c r="E46" i="3"/>
  <c r="G32" i="3"/>
  <c r="E94" i="3"/>
  <c r="E312" i="3"/>
  <c r="E341" i="3"/>
  <c r="G189" i="3"/>
  <c r="G264" i="3"/>
  <c r="G114" i="3"/>
  <c r="E228" i="3"/>
  <c r="E160" i="3"/>
  <c r="G323" i="3"/>
  <c r="G153" i="3"/>
  <c r="E128" i="3"/>
  <c r="H128" i="3" s="1"/>
  <c r="G340" i="3"/>
  <c r="G305" i="3"/>
  <c r="E182" i="3"/>
  <c r="E267" i="3"/>
  <c r="E328" i="3"/>
  <c r="G192" i="3"/>
  <c r="E278" i="3"/>
  <c r="G144" i="3"/>
  <c r="E122" i="3"/>
  <c r="E276" i="3"/>
  <c r="E138" i="3"/>
  <c r="G116" i="3"/>
  <c r="G317" i="3"/>
  <c r="G200" i="3"/>
  <c r="G151" i="3"/>
  <c r="G273" i="3"/>
  <c r="E321" i="3"/>
  <c r="G135" i="3"/>
  <c r="G181" i="3"/>
  <c r="G313" i="3"/>
  <c r="G63" i="3"/>
  <c r="E96" i="3"/>
  <c r="E76" i="3"/>
  <c r="G14" i="3"/>
  <c r="E39" i="3"/>
  <c r="G49" i="3"/>
  <c r="G99" i="3"/>
  <c r="G85" i="3"/>
  <c r="G50" i="3"/>
  <c r="E28" i="3"/>
  <c r="G75" i="3"/>
  <c r="G55" i="3"/>
  <c r="E245" i="3"/>
  <c r="G246" i="3"/>
  <c r="G168" i="3"/>
  <c r="E109" i="3"/>
  <c r="G173" i="3"/>
  <c r="G209" i="3"/>
  <c r="E169" i="3"/>
  <c r="G243" i="3"/>
  <c r="E297" i="3"/>
  <c r="E231" i="3"/>
  <c r="G237" i="3"/>
  <c r="E272" i="3"/>
  <c r="F272" i="3" s="1"/>
  <c r="E186" i="3"/>
  <c r="E156" i="3"/>
  <c r="G206" i="3"/>
  <c r="G118" i="3"/>
  <c r="E196" i="3"/>
  <c r="G255" i="3"/>
  <c r="G309" i="3"/>
  <c r="G267" i="3"/>
  <c r="G107" i="3"/>
  <c r="G294" i="3"/>
  <c r="G315" i="3"/>
  <c r="E324" i="3"/>
  <c r="G175" i="3"/>
  <c r="G270" i="3"/>
  <c r="G171" i="3"/>
  <c r="G320" i="3"/>
  <c r="E181" i="3"/>
  <c r="E280" i="3"/>
  <c r="G6" i="3"/>
  <c r="G25" i="3"/>
  <c r="E7" i="3"/>
  <c r="G52" i="3"/>
  <c r="G95" i="3"/>
  <c r="E78" i="3"/>
  <c r="G21" i="3"/>
  <c r="E19" i="3"/>
  <c r="E47" i="3"/>
  <c r="E36" i="3"/>
  <c r="G48" i="3"/>
  <c r="G46" i="3"/>
  <c r="E337" i="3"/>
  <c r="E124" i="3"/>
  <c r="G292" i="3"/>
  <c r="G268" i="3"/>
  <c r="E116" i="3"/>
  <c r="G180" i="3"/>
  <c r="G337" i="3"/>
  <c r="G240" i="3"/>
  <c r="G188" i="3"/>
  <c r="E157" i="3"/>
  <c r="G142" i="3"/>
  <c r="E309" i="3"/>
  <c r="E234" i="3"/>
  <c r="G229" i="3"/>
  <c r="G287" i="3"/>
  <c r="G215" i="3"/>
  <c r="G137" i="3"/>
  <c r="E97" i="3"/>
  <c r="G242" i="3"/>
  <c r="E179" i="3"/>
  <c r="G238" i="3"/>
  <c r="E125" i="3"/>
  <c r="H125" i="3" s="1"/>
  <c r="E256" i="3"/>
  <c r="G308" i="3"/>
  <c r="G202" i="3"/>
  <c r="G310" i="3"/>
  <c r="E240" i="3"/>
  <c r="G283" i="3"/>
  <c r="E340" i="3"/>
  <c r="G218" i="3"/>
  <c r="E314" i="3"/>
  <c r="G27" i="3"/>
  <c r="G24" i="3"/>
  <c r="E42" i="3"/>
  <c r="G36" i="3"/>
  <c r="E59" i="3"/>
  <c r="E15" i="3"/>
  <c r="G68" i="3"/>
  <c r="G65" i="3"/>
  <c r="E95" i="3"/>
  <c r="E84" i="3"/>
  <c r="E82" i="3"/>
  <c r="G43" i="3"/>
  <c r="G338" i="3"/>
  <c r="G295" i="3"/>
  <c r="E108" i="3"/>
  <c r="G227" i="3"/>
  <c r="G226" i="3"/>
  <c r="G150" i="3"/>
  <c r="G174" i="3"/>
  <c r="E247" i="3"/>
  <c r="E144" i="3"/>
  <c r="G279" i="3"/>
  <c r="E55" i="3"/>
  <c r="E291" i="3"/>
  <c r="G128" i="3"/>
  <c r="E172" i="3"/>
  <c r="E191" i="3"/>
  <c r="E227" i="3"/>
  <c r="G330" i="3"/>
  <c r="E303" i="3"/>
  <c r="E166" i="3"/>
  <c r="E317" i="3"/>
  <c r="G269" i="3"/>
  <c r="G299" i="3"/>
  <c r="G123" i="3"/>
  <c r="G300" i="3"/>
  <c r="G110" i="3"/>
  <c r="G222" i="3"/>
  <c r="E88" i="3"/>
  <c r="G339" i="3"/>
  <c r="G341" i="3"/>
  <c r="G331" i="3"/>
  <c r="E277" i="3"/>
  <c r="G37" i="3"/>
  <c r="G2" i="3"/>
  <c r="E26" i="3"/>
  <c r="E92" i="3"/>
  <c r="G54" i="3"/>
  <c r="G18" i="3"/>
  <c r="G61" i="3"/>
  <c r="E43" i="3"/>
  <c r="E57" i="3"/>
  <c r="G93" i="3"/>
  <c r="G70" i="3"/>
  <c r="E69" i="3"/>
  <c r="G228" i="3"/>
  <c r="E165" i="3"/>
  <c r="E117" i="3"/>
  <c r="E146" i="3"/>
  <c r="E213" i="3"/>
  <c r="G127" i="3"/>
  <c r="E137" i="3"/>
  <c r="E254" i="3"/>
  <c r="G284" i="3"/>
  <c r="G126" i="3"/>
  <c r="E252" i="3"/>
  <c r="G231" i="3"/>
  <c r="G182" i="3"/>
  <c r="G306" i="3"/>
  <c r="E149" i="3"/>
  <c r="E319" i="3"/>
  <c r="E154" i="3"/>
  <c r="E310" i="3"/>
  <c r="G329" i="3"/>
  <c r="G102" i="3"/>
  <c r="G217" i="3"/>
  <c r="E287" i="3"/>
  <c r="G251" i="3"/>
  <c r="E201" i="3"/>
  <c r="E133" i="3"/>
  <c r="E207" i="3"/>
  <c r="G109" i="3"/>
  <c r="G318" i="3"/>
  <c r="G119" i="3"/>
  <c r="E152" i="3"/>
  <c r="E143" i="3"/>
  <c r="E52" i="3"/>
  <c r="G92" i="3"/>
  <c r="E5" i="3"/>
  <c r="E4" i="3"/>
  <c r="E49" i="3"/>
  <c r="E41" i="3"/>
  <c r="E61" i="3"/>
  <c r="G22" i="3"/>
  <c r="E44" i="3"/>
  <c r="G4" i="3"/>
  <c r="E75" i="3"/>
  <c r="E33" i="3"/>
  <c r="E171" i="3"/>
  <c r="H171" i="3" s="1"/>
  <c r="E153" i="3"/>
  <c r="E243" i="3"/>
  <c r="G219" i="3"/>
  <c r="G140" i="3"/>
  <c r="G333" i="3"/>
  <c r="G185" i="3"/>
  <c r="G241" i="3"/>
  <c r="G304" i="3"/>
  <c r="E292" i="3"/>
  <c r="G301" i="3"/>
  <c r="G203" i="3"/>
  <c r="E118" i="3"/>
  <c r="E253" i="3"/>
  <c r="G158" i="3"/>
  <c r="E163" i="3"/>
  <c r="H163" i="3" s="1"/>
  <c r="E325" i="3"/>
  <c r="E289" i="3"/>
  <c r="F289" i="3" s="1"/>
  <c r="G130" i="3"/>
  <c r="G204" i="3"/>
  <c r="E335" i="3"/>
  <c r="G280" i="3"/>
  <c r="G147" i="3"/>
  <c r="G143" i="3"/>
  <c r="G245" i="3"/>
  <c r="E212" i="3"/>
  <c r="G160" i="3"/>
  <c r="E197" i="3"/>
  <c r="H197" i="3" s="1"/>
  <c r="G124" i="3"/>
  <c r="E167" i="3"/>
  <c r="E261" i="3"/>
  <c r="F261" i="3" s="1"/>
  <c r="E34" i="3"/>
  <c r="H34" i="3" s="1"/>
  <c r="G59" i="3"/>
  <c r="E72" i="3"/>
  <c r="E87" i="3"/>
  <c r="H87" i="3" s="1"/>
  <c r="E74" i="3"/>
  <c r="E40" i="3"/>
  <c r="F40" i="3" s="1"/>
  <c r="E63" i="3"/>
  <c r="H63" i="3" s="1"/>
  <c r="G31" i="3"/>
  <c r="E8" i="3"/>
  <c r="E99" i="3"/>
  <c r="H99" i="3" s="1"/>
  <c r="E102" i="3"/>
  <c r="H312" i="3"/>
  <c r="F312" i="3"/>
  <c r="F341" i="3"/>
  <c r="H341" i="3"/>
  <c r="H228" i="3"/>
  <c r="F228" i="3"/>
  <c r="F160" i="3"/>
  <c r="H160" i="3"/>
  <c r="H182" i="3"/>
  <c r="F182" i="3"/>
  <c r="F267" i="3"/>
  <c r="H267" i="3"/>
  <c r="F328" i="3"/>
  <c r="H328" i="3"/>
  <c r="H278" i="3"/>
  <c r="F278" i="3"/>
  <c r="F122" i="3"/>
  <c r="H122" i="3"/>
  <c r="H276" i="3"/>
  <c r="F276" i="3"/>
  <c r="F138" i="3"/>
  <c r="H138" i="3"/>
  <c r="H321" i="3"/>
  <c r="F321" i="3"/>
  <c r="F96" i="3"/>
  <c r="H96" i="3"/>
  <c r="H76" i="3"/>
  <c r="F76" i="3"/>
  <c r="H39" i="3"/>
  <c r="F39" i="3"/>
  <c r="F28" i="3"/>
  <c r="H28" i="3"/>
  <c r="H245" i="3"/>
  <c r="F245" i="3"/>
  <c r="F109" i="3"/>
  <c r="H109" i="3"/>
  <c r="F169" i="3"/>
  <c r="H169" i="3"/>
  <c r="H297" i="3"/>
  <c r="F297" i="3"/>
  <c r="H231" i="3"/>
  <c r="F231" i="3"/>
  <c r="F186" i="3"/>
  <c r="H186" i="3"/>
  <c r="F156" i="3"/>
  <c r="H156" i="3"/>
  <c r="H196" i="3"/>
  <c r="F196" i="3"/>
  <c r="H324" i="3"/>
  <c r="F324" i="3"/>
  <c r="H181" i="3"/>
  <c r="F181" i="3"/>
  <c r="F280" i="3"/>
  <c r="H280" i="3"/>
  <c r="F7" i="3"/>
  <c r="H7" i="3"/>
  <c r="H78" i="3"/>
  <c r="F78" i="3"/>
  <c r="F19" i="3"/>
  <c r="H19" i="3"/>
  <c r="F47" i="3"/>
  <c r="H47" i="3"/>
  <c r="F36" i="3"/>
  <c r="H36" i="3"/>
  <c r="F337" i="3"/>
  <c r="H337" i="3"/>
  <c r="F124" i="3"/>
  <c r="H124" i="3"/>
  <c r="F116" i="3"/>
  <c r="H116" i="3"/>
  <c r="F157" i="3"/>
  <c r="H157" i="3"/>
  <c r="F309" i="3"/>
  <c r="H309" i="3"/>
  <c r="H234" i="3"/>
  <c r="F234" i="3"/>
  <c r="F97" i="3"/>
  <c r="H97" i="3"/>
  <c r="H179" i="3"/>
  <c r="F179" i="3"/>
  <c r="F256" i="3"/>
  <c r="H256" i="3"/>
  <c r="F240" i="3"/>
  <c r="H240" i="3"/>
  <c r="H340" i="3"/>
  <c r="F340" i="3"/>
  <c r="H314" i="3"/>
  <c r="F314" i="3"/>
  <c r="H42" i="3"/>
  <c r="F42" i="3"/>
  <c r="H59" i="3"/>
  <c r="F59" i="3"/>
  <c r="F15" i="3"/>
  <c r="H15" i="3"/>
  <c r="H95" i="3"/>
  <c r="F95" i="3"/>
  <c r="H84" i="3"/>
  <c r="F84" i="3"/>
  <c r="H82" i="3"/>
  <c r="F82" i="3"/>
  <c r="H108" i="3"/>
  <c r="F108" i="3"/>
  <c r="F247" i="3"/>
  <c r="H247" i="3"/>
  <c r="H144" i="3"/>
  <c r="F144" i="3"/>
  <c r="H55" i="3"/>
  <c r="F55" i="3"/>
  <c r="F291" i="3"/>
  <c r="H291" i="3"/>
  <c r="F172" i="3"/>
  <c r="H172" i="3"/>
  <c r="H191" i="3"/>
  <c r="F191" i="3"/>
  <c r="F227" i="3"/>
  <c r="H227" i="3"/>
  <c r="H303" i="3"/>
  <c r="F303" i="3"/>
  <c r="F166" i="3"/>
  <c r="H166" i="3"/>
  <c r="H317" i="3"/>
  <c r="F317" i="3"/>
  <c r="F88" i="3"/>
  <c r="H88" i="3"/>
  <c r="F277" i="3"/>
  <c r="H277" i="3"/>
  <c r="F26" i="3"/>
  <c r="H26" i="3"/>
  <c r="H92" i="3"/>
  <c r="F92" i="3"/>
  <c r="H43" i="3"/>
  <c r="F43" i="3"/>
  <c r="H57" i="3"/>
  <c r="F57" i="3"/>
  <c r="F69" i="3"/>
  <c r="H69" i="3"/>
  <c r="F165" i="3"/>
  <c r="H165" i="3"/>
  <c r="F117" i="3"/>
  <c r="H117" i="3"/>
  <c r="H146" i="3"/>
  <c r="F146" i="3"/>
  <c r="H213" i="3"/>
  <c r="F213" i="3"/>
  <c r="F137" i="3"/>
  <c r="H137" i="3"/>
  <c r="H254" i="3"/>
  <c r="F254" i="3"/>
  <c r="F252" i="3"/>
  <c r="H252" i="3"/>
  <c r="H149" i="3"/>
  <c r="F149" i="3"/>
  <c r="H319" i="3"/>
  <c r="F319" i="3"/>
  <c r="H154" i="3"/>
  <c r="F154" i="3"/>
  <c r="H310" i="3"/>
  <c r="F310" i="3"/>
  <c r="H287" i="3"/>
  <c r="F287" i="3"/>
  <c r="H201" i="3"/>
  <c r="F201" i="3"/>
  <c r="F133" i="3"/>
  <c r="H133" i="3"/>
  <c r="H207" i="3"/>
  <c r="F207" i="3"/>
  <c r="F152" i="3"/>
  <c r="H152" i="3"/>
  <c r="H143" i="3"/>
  <c r="F143" i="3"/>
  <c r="F52" i="3"/>
  <c r="H52" i="3"/>
  <c r="F5" i="3"/>
  <c r="H5" i="3"/>
  <c r="F4" i="3"/>
  <c r="H4" i="3"/>
  <c r="F49" i="3"/>
  <c r="H49" i="3"/>
  <c r="F41" i="3"/>
  <c r="H41" i="3"/>
  <c r="H61" i="3"/>
  <c r="F61" i="3"/>
  <c r="F44" i="3"/>
  <c r="H44" i="3"/>
  <c r="H75" i="3"/>
  <c r="F75" i="3"/>
  <c r="F33" i="3"/>
  <c r="H33" i="3"/>
  <c r="H153" i="3"/>
  <c r="F153" i="3"/>
  <c r="H243" i="3"/>
  <c r="F243" i="3"/>
  <c r="F292" i="3"/>
  <c r="H292" i="3"/>
  <c r="H118" i="3"/>
  <c r="F118" i="3"/>
  <c r="F253" i="3"/>
  <c r="H253" i="3"/>
  <c r="H325" i="3"/>
  <c r="F325" i="3"/>
  <c r="H289" i="3"/>
  <c r="H335" i="3"/>
  <c r="F335" i="3"/>
  <c r="F212" i="3"/>
  <c r="H212" i="3"/>
  <c r="F167" i="3"/>
  <c r="H167" i="3"/>
  <c r="F72" i="3"/>
  <c r="H72" i="3"/>
  <c r="H74" i="3"/>
  <c r="F74" i="3"/>
  <c r="H8" i="3"/>
  <c r="F8" i="3"/>
  <c r="F99" i="3"/>
  <c r="H102" i="3"/>
  <c r="F102" i="3"/>
  <c r="H147" i="3"/>
  <c r="F147" i="3"/>
  <c r="F255" i="3"/>
  <c r="H255" i="3"/>
  <c r="H329" i="3"/>
  <c r="F329" i="3"/>
  <c r="H113" i="3"/>
  <c r="F113" i="3"/>
  <c r="H274" i="3"/>
  <c r="F274" i="3"/>
  <c r="H206" i="3"/>
  <c r="F206" i="3"/>
  <c r="F176" i="3"/>
  <c r="H176" i="3"/>
  <c r="H330" i="3"/>
  <c r="F330" i="3"/>
  <c r="H184" i="3"/>
  <c r="F184" i="3"/>
  <c r="H259" i="3"/>
  <c r="F259" i="3"/>
  <c r="F262" i="3"/>
  <c r="H262" i="3"/>
  <c r="F271" i="3"/>
  <c r="H271" i="3"/>
  <c r="F115" i="3"/>
  <c r="H115" i="3"/>
  <c r="F343" i="3"/>
  <c r="H343" i="3"/>
  <c r="F336" i="3"/>
  <c r="H336" i="3"/>
  <c r="F190" i="3"/>
  <c r="H190" i="3"/>
  <c r="H282" i="3"/>
  <c r="F282" i="3"/>
  <c r="H199" i="3"/>
  <c r="F199" i="3"/>
  <c r="H273" i="3"/>
  <c r="F273" i="3"/>
  <c r="H136" i="3"/>
  <c r="F136" i="3"/>
  <c r="F151" i="3"/>
  <c r="H151" i="3"/>
  <c r="H158" i="3"/>
  <c r="F158" i="3"/>
  <c r="F27" i="3"/>
  <c r="H27" i="3"/>
  <c r="H29" i="3"/>
  <c r="F29" i="3"/>
  <c r="H45" i="3"/>
  <c r="F45" i="3"/>
  <c r="F16" i="3"/>
  <c r="H16" i="3"/>
  <c r="F334" i="3"/>
  <c r="H334" i="3"/>
  <c r="H265" i="3"/>
  <c r="F265" i="3"/>
  <c r="H210" i="3"/>
  <c r="F210" i="3"/>
  <c r="F248" i="3"/>
  <c r="H248" i="3"/>
  <c r="H246" i="3"/>
  <c r="F246" i="3"/>
  <c r="F131" i="3"/>
  <c r="H131" i="3"/>
  <c r="F208" i="3"/>
  <c r="H208" i="3"/>
  <c r="F230" i="3"/>
  <c r="H230" i="3"/>
  <c r="F239" i="3"/>
  <c r="H239" i="3"/>
  <c r="H130" i="3"/>
  <c r="F130" i="3"/>
  <c r="H219" i="3"/>
  <c r="F219" i="3"/>
  <c r="F236" i="3"/>
  <c r="H236" i="3"/>
  <c r="H203" i="3"/>
  <c r="F203" i="3"/>
  <c r="F250" i="3"/>
  <c r="H250" i="3"/>
  <c r="F224" i="3"/>
  <c r="H224" i="3"/>
  <c r="H161" i="3"/>
  <c r="F161" i="3"/>
  <c r="F264" i="3"/>
  <c r="H264" i="3"/>
  <c r="F110" i="3"/>
  <c r="H110" i="3"/>
  <c r="F114" i="3"/>
  <c r="H114" i="3"/>
  <c r="H205" i="3"/>
  <c r="F205" i="3"/>
  <c r="F93" i="3"/>
  <c r="H93" i="3"/>
  <c r="H35" i="3"/>
  <c r="F35" i="3"/>
  <c r="F70" i="3"/>
  <c r="H70" i="3"/>
  <c r="F24" i="3"/>
  <c r="H24" i="3"/>
  <c r="H50" i="3"/>
  <c r="F50" i="3"/>
  <c r="F10" i="3"/>
  <c r="H10" i="3"/>
  <c r="H21" i="3"/>
  <c r="F21" i="3"/>
  <c r="H221" i="3"/>
  <c r="F221" i="3"/>
  <c r="H342" i="3"/>
  <c r="F342" i="3"/>
  <c r="H339" i="3"/>
  <c r="F339" i="3"/>
  <c r="F275" i="3"/>
  <c r="H275" i="3"/>
  <c r="F268" i="3"/>
  <c r="H268" i="3"/>
  <c r="H178" i="3"/>
  <c r="F178" i="3"/>
  <c r="F139" i="3"/>
  <c r="H139" i="3"/>
  <c r="F121" i="3"/>
  <c r="H121" i="3"/>
  <c r="F257" i="3"/>
  <c r="H257" i="3"/>
  <c r="F235" i="3"/>
  <c r="H235" i="3"/>
  <c r="H223" i="3"/>
  <c r="F223" i="3"/>
  <c r="F60" i="3"/>
  <c r="H60" i="3"/>
  <c r="H89" i="3"/>
  <c r="F89" i="3"/>
  <c r="H12" i="3"/>
  <c r="F12" i="3"/>
  <c r="H68" i="3"/>
  <c r="F68" i="3"/>
  <c r="H214" i="3"/>
  <c r="F214" i="3"/>
  <c r="H332" i="3"/>
  <c r="F332" i="3"/>
  <c r="F299" i="3"/>
  <c r="H299" i="3"/>
  <c r="H298" i="3"/>
  <c r="F298" i="3"/>
  <c r="F168" i="3"/>
  <c r="H168" i="3"/>
  <c r="H119" i="3"/>
  <c r="F119" i="3"/>
  <c r="H225" i="3"/>
  <c r="F225" i="3"/>
  <c r="F174" i="3"/>
  <c r="H174" i="3"/>
  <c r="F53" i="3"/>
  <c r="H53" i="3"/>
  <c r="H187" i="3"/>
  <c r="F187" i="3"/>
  <c r="H204" i="3"/>
  <c r="F204" i="3"/>
  <c r="F322" i="3"/>
  <c r="H322" i="3"/>
  <c r="F302" i="3"/>
  <c r="H302" i="3"/>
  <c r="F18" i="3"/>
  <c r="H18" i="3"/>
  <c r="H86" i="3"/>
  <c r="F86" i="3"/>
  <c r="H2" i="3"/>
  <c r="F2" i="3"/>
  <c r="F51" i="3"/>
  <c r="H51" i="3"/>
  <c r="H83" i="3"/>
  <c r="F83" i="3"/>
  <c r="F32" i="3"/>
  <c r="H32" i="3"/>
  <c r="F14" i="3"/>
  <c r="H14" i="3"/>
  <c r="F65" i="3"/>
  <c r="H65" i="3"/>
  <c r="F66" i="3"/>
  <c r="H66" i="3"/>
  <c r="F103" i="3"/>
  <c r="H103" i="3"/>
  <c r="H290" i="3"/>
  <c r="F290" i="3"/>
  <c r="H150" i="3"/>
  <c r="F150" i="3"/>
  <c r="H155" i="3"/>
  <c r="F155" i="3"/>
  <c r="F294" i="3"/>
  <c r="H294" i="3"/>
  <c r="H258" i="3"/>
  <c r="F258" i="3"/>
  <c r="F281" i="3"/>
  <c r="H281" i="3"/>
  <c r="H142" i="3"/>
  <c r="F142" i="3"/>
  <c r="H301" i="3"/>
  <c r="F301" i="3"/>
  <c r="H285" i="3"/>
  <c r="F285" i="3"/>
  <c r="H286" i="3"/>
  <c r="F286" i="3"/>
  <c r="F183" i="3"/>
  <c r="H183" i="3"/>
  <c r="F218" i="3"/>
  <c r="H266" i="3"/>
  <c r="F266" i="3"/>
  <c r="F311" i="3"/>
  <c r="H311" i="3"/>
  <c r="H326" i="3"/>
  <c r="F326" i="3"/>
  <c r="F85" i="3"/>
  <c r="H85" i="3"/>
  <c r="H23" i="3"/>
  <c r="F23" i="3"/>
  <c r="H77" i="3"/>
  <c r="F77" i="3"/>
  <c r="H58" i="3"/>
  <c r="F58" i="3"/>
  <c r="H100" i="3"/>
  <c r="F100" i="3"/>
  <c r="H105" i="3"/>
  <c r="F105" i="3"/>
  <c r="H237" i="3"/>
  <c r="F237" i="3"/>
  <c r="F129" i="3"/>
  <c r="H129" i="3"/>
  <c r="H106" i="3"/>
  <c r="F106" i="3"/>
  <c r="F331" i="3"/>
  <c r="H331" i="3"/>
  <c r="F270" i="3"/>
  <c r="H270" i="3"/>
  <c r="F120" i="3"/>
  <c r="H120" i="3"/>
  <c r="F307" i="3"/>
  <c r="H233" i="3"/>
  <c r="F233" i="3"/>
  <c r="F202" i="3"/>
  <c r="H202" i="3"/>
  <c r="F238" i="3"/>
  <c r="H238" i="3"/>
  <c r="F123" i="3"/>
  <c r="H123" i="3"/>
  <c r="F200" i="3"/>
  <c r="H200" i="3"/>
  <c r="F313" i="3"/>
  <c r="H313" i="3"/>
  <c r="H185" i="3"/>
  <c r="F185" i="3"/>
  <c r="F308" i="3"/>
  <c r="H308" i="3"/>
  <c r="F164" i="3"/>
  <c r="H164" i="3"/>
  <c r="F327" i="3"/>
  <c r="H327" i="3"/>
  <c r="H251" i="3"/>
  <c r="F251" i="3"/>
  <c r="F9" i="3"/>
  <c r="H9" i="3"/>
  <c r="H17" i="3"/>
  <c r="F17" i="3"/>
  <c r="H101" i="3"/>
  <c r="F101" i="3"/>
  <c r="F79" i="3"/>
  <c r="H79" i="3"/>
  <c r="H37" i="3"/>
  <c r="F37" i="3"/>
  <c r="H80" i="3"/>
  <c r="F80" i="3"/>
  <c r="F91" i="3"/>
  <c r="H91" i="3"/>
  <c r="H98" i="3"/>
  <c r="F98" i="3"/>
  <c r="F263" i="3"/>
  <c r="H263" i="3"/>
  <c r="H104" i="3"/>
  <c r="F104" i="3"/>
  <c r="H188" i="3"/>
  <c r="F188" i="3"/>
  <c r="F145" i="3"/>
  <c r="H145" i="3"/>
  <c r="H198" i="3"/>
  <c r="F198" i="3"/>
  <c r="H304" i="3"/>
  <c r="F304" i="3"/>
  <c r="F170" i="3"/>
  <c r="H170" i="3"/>
  <c r="H111" i="3"/>
  <c r="F111" i="3"/>
  <c r="H215" i="3"/>
  <c r="F215" i="3"/>
  <c r="H38" i="3"/>
  <c r="F38" i="3"/>
  <c r="F6" i="3"/>
  <c r="H6" i="3"/>
  <c r="F20" i="3"/>
  <c r="H20" i="3"/>
  <c r="H81" i="3"/>
  <c r="F81" i="3"/>
  <c r="H3" i="3"/>
  <c r="F3" i="3"/>
  <c r="F13" i="3"/>
  <c r="H13" i="3"/>
  <c r="F296" i="3"/>
  <c r="H296" i="3"/>
  <c r="H244" i="3"/>
  <c r="F244" i="3"/>
  <c r="H300" i="3"/>
  <c r="F300" i="3"/>
  <c r="H216" i="3"/>
  <c r="F216" i="3"/>
  <c r="H162" i="3"/>
  <c r="F162" i="3"/>
  <c r="F232" i="3"/>
  <c r="H232" i="3"/>
  <c r="F107" i="3"/>
  <c r="H107" i="3"/>
  <c r="F226" i="3"/>
  <c r="H226" i="3"/>
  <c r="F177" i="3"/>
  <c r="H177" i="3"/>
  <c r="H338" i="3"/>
  <c r="F338" i="3"/>
  <c r="F241" i="3"/>
  <c r="H241" i="3"/>
  <c r="F305" i="3"/>
  <c r="H305" i="3"/>
  <c r="F306" i="3"/>
  <c r="H306" i="3"/>
  <c r="H249" i="3"/>
  <c r="F249" i="3"/>
  <c r="H71" i="3"/>
  <c r="F71" i="3"/>
  <c r="F140" i="3"/>
  <c r="H140" i="3"/>
  <c r="F127" i="3"/>
  <c r="H127" i="3"/>
  <c r="F193" i="3"/>
  <c r="H193" i="3"/>
  <c r="F333" i="3"/>
  <c r="H333" i="3"/>
  <c r="F30" i="3"/>
  <c r="H30" i="3"/>
  <c r="H22" i="3"/>
  <c r="F22" i="3"/>
  <c r="H62" i="3"/>
  <c r="F62" i="3"/>
  <c r="H175" i="3"/>
  <c r="F175" i="3"/>
  <c r="F112" i="3"/>
  <c r="H112" i="3"/>
  <c r="F260" i="3"/>
  <c r="H260" i="3"/>
  <c r="H315" i="3"/>
  <c r="F148" i="3"/>
  <c r="H148" i="3"/>
  <c r="H141" i="3"/>
  <c r="F141" i="3"/>
  <c r="H279" i="3"/>
  <c r="F279" i="3"/>
  <c r="F195" i="3"/>
  <c r="H195" i="3"/>
  <c r="F269" i="3"/>
  <c r="H269" i="3"/>
  <c r="F222" i="3"/>
  <c r="H222" i="3"/>
  <c r="F211" i="3"/>
  <c r="H211" i="3"/>
  <c r="F189" i="3"/>
  <c r="H189" i="3"/>
  <c r="H135" i="3"/>
  <c r="F135" i="3"/>
  <c r="H180" i="3"/>
  <c r="F180" i="3"/>
  <c r="H25" i="3"/>
  <c r="F25" i="3"/>
  <c r="H48" i="3"/>
  <c r="F48" i="3"/>
  <c r="F11" i="3"/>
  <c r="H11" i="3"/>
  <c r="H54" i="3"/>
  <c r="F54" i="3"/>
  <c r="F323" i="3"/>
  <c r="H323" i="3"/>
  <c r="H320" i="3"/>
  <c r="F320" i="3"/>
  <c r="H295" i="3"/>
  <c r="F295" i="3"/>
  <c r="H159" i="3"/>
  <c r="F159" i="3"/>
  <c r="H173" i="3"/>
  <c r="F173" i="3"/>
  <c r="F194" i="3"/>
  <c r="H194" i="3"/>
  <c r="H220" i="3"/>
  <c r="F220" i="3"/>
  <c r="F283" i="3"/>
  <c r="H283" i="3"/>
  <c r="H293" i="3"/>
  <c r="F293" i="3"/>
  <c r="H134" i="3"/>
  <c r="F134" i="3"/>
  <c r="H316" i="3"/>
  <c r="F316" i="3"/>
  <c r="F132" i="3"/>
  <c r="H132" i="3"/>
  <c r="F209" i="3"/>
  <c r="H209" i="3"/>
  <c r="F318" i="3"/>
  <c r="H318" i="3"/>
  <c r="H90" i="3"/>
  <c r="F90" i="3"/>
  <c r="F56" i="3"/>
  <c r="H56" i="3"/>
  <c r="H31" i="3"/>
  <c r="F31" i="3"/>
  <c r="H67" i="3"/>
  <c r="F67" i="3"/>
  <c r="H64" i="3"/>
  <c r="F64" i="3"/>
  <c r="F46" i="3"/>
  <c r="H46" i="3"/>
  <c r="H94" i="3"/>
  <c r="F94" i="3"/>
  <c r="F284" i="3" l="1"/>
  <c r="F34" i="3"/>
  <c r="F163" i="3"/>
  <c r="H126" i="3"/>
  <c r="H261" i="3"/>
  <c r="H272" i="3"/>
  <c r="F217" i="3"/>
  <c r="F242" i="3"/>
  <c r="I296" i="1" s="1"/>
  <c r="F63" i="3"/>
  <c r="F197" i="3"/>
  <c r="F128" i="3"/>
  <c r="F229" i="3"/>
  <c r="H40" i="3"/>
  <c r="H288" i="3"/>
  <c r="F192" i="3"/>
  <c r="F125" i="3"/>
  <c r="E26" i="1" s="1"/>
  <c r="H73" i="3"/>
  <c r="F87" i="3"/>
  <c r="F171" i="3"/>
  <c r="E23" i="1"/>
  <c r="E30" i="1"/>
  <c r="E37" i="1"/>
  <c r="E35" i="1" l="1"/>
  <c r="G35" i="1" s="1"/>
  <c r="E27" i="1"/>
  <c r="I44" i="1" s="1"/>
  <c r="E25" i="1"/>
  <c r="I42" i="1" s="1"/>
  <c r="E31" i="1"/>
  <c r="G31" i="1" s="1"/>
  <c r="E22" i="1"/>
  <c r="I39" i="1" s="1"/>
  <c r="E29" i="1"/>
  <c r="G29" i="1" s="1"/>
  <c r="E34" i="1"/>
  <c r="D34" i="1" s="1"/>
  <c r="E32" i="1"/>
  <c r="G32" i="1" s="1"/>
  <c r="I302" i="1"/>
  <c r="E33" i="1"/>
  <c r="G33" i="1" s="1"/>
  <c r="E302" i="1"/>
  <c r="G302" i="1" s="1"/>
  <c r="E24" i="1"/>
  <c r="E41" i="1" s="1"/>
  <c r="E36" i="1"/>
  <c r="G36" i="1" s="1"/>
  <c r="E296" i="1"/>
  <c r="I313" i="1" s="1"/>
  <c r="E28" i="1"/>
  <c r="D28" i="1" s="1"/>
  <c r="G28" i="1"/>
  <c r="D26" i="1"/>
  <c r="G26" i="1"/>
  <c r="I40" i="1"/>
  <c r="D23" i="1"/>
  <c r="E40" i="1"/>
  <c r="G23" i="1"/>
  <c r="G25" i="1"/>
  <c r="G37" i="1"/>
  <c r="D37" i="1"/>
  <c r="D22" i="1"/>
  <c r="G22" i="1"/>
  <c r="E39" i="1"/>
  <c r="E47" i="1"/>
  <c r="I47" i="1"/>
  <c r="G30" i="1"/>
  <c r="D30" i="1"/>
  <c r="E319" i="1"/>
  <c r="D302" i="1"/>
  <c r="G296" i="1"/>
  <c r="E313" i="1"/>
  <c r="I319" i="1" l="1"/>
  <c r="D296" i="1"/>
  <c r="D35" i="1"/>
  <c r="E52" i="1"/>
  <c r="D52" i="1" s="1"/>
  <c r="I52" i="1"/>
  <c r="E53" i="1"/>
  <c r="I70" i="1" s="1"/>
  <c r="D36" i="1"/>
  <c r="I53" i="1"/>
  <c r="G34" i="1"/>
  <c r="I51" i="1"/>
  <c r="E51" i="1"/>
  <c r="G51" i="1" s="1"/>
  <c r="E50" i="1"/>
  <c r="E67" i="1" s="1"/>
  <c r="D33" i="1"/>
  <c r="I50" i="1"/>
  <c r="D31" i="1"/>
  <c r="I48" i="1"/>
  <c r="E48" i="1"/>
  <c r="G48" i="1" s="1"/>
  <c r="D29" i="1"/>
  <c r="I46" i="1"/>
  <c r="E46" i="1"/>
  <c r="I63" i="1" s="1"/>
  <c r="E45" i="1"/>
  <c r="D45" i="1" s="1"/>
  <c r="D27" i="1"/>
  <c r="G27" i="1"/>
  <c r="E44" i="1"/>
  <c r="D44" i="1" s="1"/>
  <c r="E42" i="1"/>
  <c r="D42" i="1" s="1"/>
  <c r="G24" i="1"/>
  <c r="I41" i="1"/>
  <c r="D24" i="1"/>
  <c r="E49" i="1"/>
  <c r="G49" i="1" s="1"/>
  <c r="I49" i="1"/>
  <c r="D32" i="1"/>
  <c r="D25" i="1"/>
  <c r="I45" i="1"/>
  <c r="E69" i="1"/>
  <c r="E68" i="1"/>
  <c r="I68" i="1"/>
  <c r="E58" i="1"/>
  <c r="I58" i="1"/>
  <c r="G41" i="1"/>
  <c r="D41" i="1"/>
  <c r="I57" i="1"/>
  <c r="G40" i="1"/>
  <c r="E57" i="1"/>
  <c r="D40" i="1"/>
  <c r="G313" i="1"/>
  <c r="I330" i="1"/>
  <c r="E330" i="1"/>
  <c r="D313" i="1"/>
  <c r="G43" i="1"/>
  <c r="I60" i="1"/>
  <c r="D43" i="1"/>
  <c r="E60" i="1"/>
  <c r="G319" i="1"/>
  <c r="D319" i="1"/>
  <c r="I336" i="1"/>
  <c r="E336" i="1"/>
  <c r="D47" i="1"/>
  <c r="G47" i="1"/>
  <c r="I64" i="1"/>
  <c r="E64" i="1"/>
  <c r="G39" i="1"/>
  <c r="E56" i="1"/>
  <c r="D39" i="1"/>
  <c r="I56" i="1"/>
  <c r="I69" i="1" l="1"/>
  <c r="G52" i="1"/>
  <c r="E70" i="1"/>
  <c r="G53" i="1"/>
  <c r="D53" i="1"/>
  <c r="D51" i="1"/>
  <c r="I67" i="1"/>
  <c r="D50" i="1"/>
  <c r="G50" i="1"/>
  <c r="E65" i="1"/>
  <c r="E82" i="1" s="1"/>
  <c r="I65" i="1"/>
  <c r="D48" i="1"/>
  <c r="G46" i="1"/>
  <c r="E63" i="1"/>
  <c r="E80" i="1" s="1"/>
  <c r="D46" i="1"/>
  <c r="I62" i="1"/>
  <c r="E62" i="1"/>
  <c r="I79" i="1" s="1"/>
  <c r="G45" i="1"/>
  <c r="E61" i="1"/>
  <c r="D61" i="1" s="1"/>
  <c r="G44" i="1"/>
  <c r="I61" i="1"/>
  <c r="G42" i="1"/>
  <c r="I59" i="1"/>
  <c r="E59" i="1"/>
  <c r="I76" i="1" s="1"/>
  <c r="E66" i="1"/>
  <c r="D66" i="1" s="1"/>
  <c r="I66" i="1"/>
  <c r="D49" i="1"/>
  <c r="I73" i="1"/>
  <c r="D56" i="1"/>
  <c r="E73" i="1"/>
  <c r="G56" i="1"/>
  <c r="G60" i="1"/>
  <c r="E77" i="1"/>
  <c r="I77" i="1"/>
  <c r="D60" i="1"/>
  <c r="I84" i="1"/>
  <c r="G67" i="1"/>
  <c r="E84" i="1"/>
  <c r="D67" i="1"/>
  <c r="G58" i="1"/>
  <c r="I75" i="1"/>
  <c r="E75" i="1"/>
  <c r="D58" i="1"/>
  <c r="I87" i="1"/>
  <c r="G70" i="1"/>
  <c r="D70" i="1"/>
  <c r="E87" i="1"/>
  <c r="D68" i="1"/>
  <c r="I85" i="1"/>
  <c r="G68" i="1"/>
  <c r="E85" i="1"/>
  <c r="E81" i="1"/>
  <c r="G64" i="1"/>
  <c r="D64" i="1"/>
  <c r="I81" i="1"/>
  <c r="D330" i="1"/>
  <c r="G330" i="1"/>
  <c r="I347" i="1"/>
  <c r="E347" i="1"/>
  <c r="I78" i="1"/>
  <c r="E78" i="1"/>
  <c r="E86" i="1"/>
  <c r="G69" i="1"/>
  <c r="D69" i="1"/>
  <c r="I86" i="1"/>
  <c r="E353" i="1"/>
  <c r="D336" i="1"/>
  <c r="G336" i="1"/>
  <c r="I353" i="1"/>
  <c r="E74" i="1"/>
  <c r="I74" i="1"/>
  <c r="D57" i="1"/>
  <c r="G57" i="1"/>
  <c r="E83" i="1" l="1"/>
  <c r="G83" i="1" s="1"/>
  <c r="G66" i="1"/>
  <c r="I83" i="1"/>
  <c r="I82" i="1"/>
  <c r="G65" i="1"/>
  <c r="D65" i="1"/>
  <c r="D63" i="1"/>
  <c r="G63" i="1"/>
  <c r="I80" i="1"/>
  <c r="G62" i="1"/>
  <c r="E79" i="1"/>
  <c r="E96" i="1" s="1"/>
  <c r="D62" i="1"/>
  <c r="G61" i="1"/>
  <c r="G59" i="1"/>
  <c r="E76" i="1"/>
  <c r="I93" i="1" s="1"/>
  <c r="D59" i="1"/>
  <c r="D83" i="1"/>
  <c r="E100" i="1"/>
  <c r="I100" i="1"/>
  <c r="G75" i="1"/>
  <c r="E92" i="1"/>
  <c r="I92" i="1"/>
  <c r="D75" i="1"/>
  <c r="D347" i="1"/>
  <c r="E364" i="1"/>
  <c r="I364" i="1"/>
  <c r="G347" i="1"/>
  <c r="E102" i="1"/>
  <c r="G85" i="1"/>
  <c r="I102" i="1"/>
  <c r="D85" i="1"/>
  <c r="G84" i="1"/>
  <c r="I101" i="1"/>
  <c r="E101" i="1"/>
  <c r="D84" i="1"/>
  <c r="I370" i="1"/>
  <c r="D353" i="1"/>
  <c r="G353" i="1"/>
  <c r="E370" i="1"/>
  <c r="G80" i="1"/>
  <c r="E97" i="1"/>
  <c r="D80" i="1"/>
  <c r="I97" i="1"/>
  <c r="D77" i="1"/>
  <c r="G77" i="1"/>
  <c r="I94" i="1"/>
  <c r="E94" i="1"/>
  <c r="G86" i="1"/>
  <c r="I103" i="1"/>
  <c r="E103" i="1"/>
  <c r="D86" i="1"/>
  <c r="G81" i="1"/>
  <c r="D81" i="1"/>
  <c r="E98" i="1"/>
  <c r="I98" i="1"/>
  <c r="G82" i="1"/>
  <c r="E99" i="1"/>
  <c r="D82" i="1"/>
  <c r="I99" i="1"/>
  <c r="D78" i="1"/>
  <c r="I95" i="1"/>
  <c r="G78" i="1"/>
  <c r="E95" i="1"/>
  <c r="I104" i="1"/>
  <c r="D87" i="1"/>
  <c r="E104" i="1"/>
  <c r="G87" i="1"/>
  <c r="E90" i="1"/>
  <c r="I90" i="1"/>
  <c r="D73" i="1"/>
  <c r="G73" i="1"/>
  <c r="E91" i="1"/>
  <c r="I91" i="1"/>
  <c r="D74" i="1"/>
  <c r="G74" i="1"/>
  <c r="I96" i="1" l="1"/>
  <c r="D79" i="1"/>
  <c r="G79" i="1"/>
  <c r="E93" i="1"/>
  <c r="D93" i="1" s="1"/>
  <c r="D76" i="1"/>
  <c r="G76" i="1"/>
  <c r="D98" i="1"/>
  <c r="I115" i="1"/>
  <c r="E115" i="1"/>
  <c r="G98" i="1"/>
  <c r="I114" i="1"/>
  <c r="D97" i="1"/>
  <c r="E114" i="1"/>
  <c r="G97" i="1"/>
  <c r="G90" i="1"/>
  <c r="D90" i="1"/>
  <c r="I107" i="1"/>
  <c r="E107" i="1"/>
  <c r="D370" i="1"/>
  <c r="I387" i="1"/>
  <c r="G370" i="1"/>
  <c r="E387" i="1"/>
  <c r="E120" i="1"/>
  <c r="D103" i="1"/>
  <c r="G103" i="1"/>
  <c r="I120" i="1"/>
  <c r="G364" i="1"/>
  <c r="E381" i="1"/>
  <c r="D364" i="1"/>
  <c r="I381" i="1"/>
  <c r="I112" i="1"/>
  <c r="D95" i="1"/>
  <c r="E112" i="1"/>
  <c r="G95" i="1"/>
  <c r="E111" i="1"/>
  <c r="I111" i="1"/>
  <c r="D94" i="1"/>
  <c r="G94" i="1"/>
  <c r="E118" i="1"/>
  <c r="D101" i="1"/>
  <c r="I118" i="1"/>
  <c r="G101" i="1"/>
  <c r="E121" i="1"/>
  <c r="D104" i="1"/>
  <c r="I121" i="1"/>
  <c r="G104" i="1"/>
  <c r="D92" i="1"/>
  <c r="G92" i="1"/>
  <c r="E109" i="1"/>
  <c r="I109" i="1"/>
  <c r="D96" i="1"/>
  <c r="I113" i="1"/>
  <c r="G96" i="1"/>
  <c r="E113" i="1"/>
  <c r="I116" i="1"/>
  <c r="G99" i="1"/>
  <c r="E116" i="1"/>
  <c r="D99" i="1"/>
  <c r="G100" i="1"/>
  <c r="D100" i="1"/>
  <c r="I117" i="1"/>
  <c r="E117" i="1"/>
  <c r="I108" i="1"/>
  <c r="E108" i="1"/>
  <c r="G91" i="1"/>
  <c r="D91" i="1"/>
  <c r="G102" i="1"/>
  <c r="E119" i="1"/>
  <c r="I119" i="1"/>
  <c r="D102" i="1"/>
  <c r="G93" i="1" l="1"/>
  <c r="E110" i="1"/>
  <c r="I127" i="1" s="1"/>
  <c r="I110" i="1"/>
  <c r="D109" i="1"/>
  <c r="E126" i="1"/>
  <c r="G109" i="1"/>
  <c r="I126" i="1"/>
  <c r="E125" i="1"/>
  <c r="D108" i="1"/>
  <c r="G108" i="1"/>
  <c r="I125" i="1"/>
  <c r="D112" i="1"/>
  <c r="I129" i="1"/>
  <c r="G112" i="1"/>
  <c r="E129" i="1"/>
  <c r="I124" i="1"/>
  <c r="E124" i="1"/>
  <c r="G107" i="1"/>
  <c r="D107" i="1"/>
  <c r="D114" i="1"/>
  <c r="G114" i="1"/>
  <c r="I131" i="1"/>
  <c r="E131" i="1"/>
  <c r="D116" i="1"/>
  <c r="G116" i="1"/>
  <c r="I133" i="1"/>
  <c r="E133" i="1"/>
  <c r="I398" i="1"/>
  <c r="G381" i="1"/>
  <c r="D381" i="1"/>
  <c r="E398" i="1"/>
  <c r="D121" i="1"/>
  <c r="G121" i="1"/>
  <c r="E138" i="1"/>
  <c r="I138" i="1"/>
  <c r="I132" i="1"/>
  <c r="G115" i="1"/>
  <c r="D115" i="1"/>
  <c r="E132" i="1"/>
  <c r="D118" i="1"/>
  <c r="E135" i="1"/>
  <c r="I135" i="1"/>
  <c r="G118" i="1"/>
  <c r="D120" i="1"/>
  <c r="I137" i="1"/>
  <c r="G120" i="1"/>
  <c r="E137" i="1"/>
  <c r="D119" i="1"/>
  <c r="I136" i="1"/>
  <c r="G119" i="1"/>
  <c r="E136" i="1"/>
  <c r="I130" i="1"/>
  <c r="D113" i="1"/>
  <c r="E130" i="1"/>
  <c r="G113" i="1"/>
  <c r="D117" i="1"/>
  <c r="E134" i="1"/>
  <c r="G117" i="1"/>
  <c r="I134" i="1"/>
  <c r="D387" i="1"/>
  <c r="E404" i="1"/>
  <c r="G387" i="1"/>
  <c r="I404" i="1"/>
  <c r="I128" i="1"/>
  <c r="D111" i="1"/>
  <c r="E128" i="1"/>
  <c r="G111" i="1"/>
  <c r="E127" i="1" l="1"/>
  <c r="D127" i="1" s="1"/>
  <c r="G110" i="1"/>
  <c r="D110" i="1"/>
  <c r="I155" i="1"/>
  <c r="E155" i="1"/>
  <c r="D138" i="1"/>
  <c r="G138" i="1"/>
  <c r="G124" i="1"/>
  <c r="E141" i="1"/>
  <c r="D124" i="1"/>
  <c r="I141" i="1"/>
  <c r="I151" i="1"/>
  <c r="G134" i="1"/>
  <c r="D134" i="1"/>
  <c r="E151" i="1"/>
  <c r="D398" i="1"/>
  <c r="E415" i="1"/>
  <c r="G398" i="1"/>
  <c r="I415" i="1"/>
  <c r="G129" i="1"/>
  <c r="D129" i="1"/>
  <c r="E146" i="1"/>
  <c r="I146" i="1"/>
  <c r="D135" i="1"/>
  <c r="E152" i="1"/>
  <c r="I152" i="1"/>
  <c r="G135" i="1"/>
  <c r="D133" i="1"/>
  <c r="E150" i="1"/>
  <c r="G133" i="1"/>
  <c r="I150" i="1"/>
  <c r="G128" i="1"/>
  <c r="D128" i="1"/>
  <c r="I145" i="1"/>
  <c r="E145" i="1"/>
  <c r="I147" i="1"/>
  <c r="G130" i="1"/>
  <c r="D130" i="1"/>
  <c r="E147" i="1"/>
  <c r="I142" i="1"/>
  <c r="G125" i="1"/>
  <c r="E142" i="1"/>
  <c r="D125" i="1"/>
  <c r="D136" i="1"/>
  <c r="G136" i="1"/>
  <c r="E153" i="1"/>
  <c r="I153" i="1"/>
  <c r="G131" i="1"/>
  <c r="D131" i="1"/>
  <c r="E148" i="1"/>
  <c r="I148" i="1"/>
  <c r="D132" i="1"/>
  <c r="G132" i="1"/>
  <c r="I149" i="1"/>
  <c r="E149" i="1"/>
  <c r="D126" i="1"/>
  <c r="G126" i="1"/>
  <c r="E143" i="1"/>
  <c r="I143" i="1"/>
  <c r="I154" i="1"/>
  <c r="G137" i="1"/>
  <c r="D137" i="1"/>
  <c r="E154" i="1"/>
  <c r="I421" i="1"/>
  <c r="E421" i="1"/>
  <c r="G404" i="1"/>
  <c r="D404" i="1"/>
  <c r="G127" i="1" l="1"/>
  <c r="E144" i="1"/>
  <c r="G144" i="1" s="1"/>
  <c r="I144" i="1"/>
  <c r="E160" i="1"/>
  <c r="I160" i="1"/>
  <c r="D143" i="1"/>
  <c r="G143" i="1"/>
  <c r="I159" i="1"/>
  <c r="G142" i="1"/>
  <c r="D142" i="1"/>
  <c r="E159" i="1"/>
  <c r="E167" i="1"/>
  <c r="G150" i="1"/>
  <c r="D150" i="1"/>
  <c r="I167" i="1"/>
  <c r="G415" i="1"/>
  <c r="D415" i="1"/>
  <c r="I432" i="1"/>
  <c r="E432" i="1"/>
  <c r="G147" i="1"/>
  <c r="I164" i="1"/>
  <c r="E164" i="1"/>
  <c r="D147" i="1"/>
  <c r="G151" i="1"/>
  <c r="E168" i="1"/>
  <c r="I168" i="1"/>
  <c r="D151" i="1"/>
  <c r="G149" i="1"/>
  <c r="D149" i="1"/>
  <c r="E166" i="1"/>
  <c r="I166" i="1"/>
  <c r="I165" i="1"/>
  <c r="D148" i="1"/>
  <c r="E165" i="1"/>
  <c r="G148" i="1"/>
  <c r="D152" i="1"/>
  <c r="E169" i="1"/>
  <c r="G152" i="1"/>
  <c r="I169" i="1"/>
  <c r="D141" i="1"/>
  <c r="I158" i="1"/>
  <c r="E158" i="1"/>
  <c r="G141" i="1"/>
  <c r="D145" i="1"/>
  <c r="G145" i="1"/>
  <c r="I162" i="1"/>
  <c r="E162" i="1"/>
  <c r="G154" i="1"/>
  <c r="I171" i="1"/>
  <c r="D154" i="1"/>
  <c r="E171" i="1"/>
  <c r="I163" i="1"/>
  <c r="D146" i="1"/>
  <c r="E163" i="1"/>
  <c r="G146" i="1"/>
  <c r="I170" i="1"/>
  <c r="E170" i="1"/>
  <c r="G153" i="1"/>
  <c r="D153" i="1"/>
  <c r="D155" i="1"/>
  <c r="E172" i="1"/>
  <c r="G155" i="1"/>
  <c r="I172" i="1"/>
  <c r="I438" i="1"/>
  <c r="E438" i="1"/>
  <c r="G421" i="1"/>
  <c r="D421" i="1"/>
  <c r="I161" i="1" l="1"/>
  <c r="D144" i="1"/>
  <c r="E161" i="1"/>
  <c r="D161" i="1" s="1"/>
  <c r="E187" i="1"/>
  <c r="I187" i="1"/>
  <c r="G170" i="1"/>
  <c r="D170" i="1"/>
  <c r="I175" i="1"/>
  <c r="E175" i="1"/>
  <c r="G158" i="1"/>
  <c r="D158" i="1"/>
  <c r="G166" i="1"/>
  <c r="I183" i="1"/>
  <c r="E183" i="1"/>
  <c r="D166" i="1"/>
  <c r="G163" i="1"/>
  <c r="I180" i="1"/>
  <c r="E180" i="1"/>
  <c r="D163" i="1"/>
  <c r="E184" i="1"/>
  <c r="G167" i="1"/>
  <c r="D167" i="1"/>
  <c r="I184" i="1"/>
  <c r="G159" i="1"/>
  <c r="D159" i="1"/>
  <c r="I176" i="1"/>
  <c r="E176" i="1"/>
  <c r="D171" i="1"/>
  <c r="E188" i="1"/>
  <c r="I188" i="1"/>
  <c r="G171" i="1"/>
  <c r="D432" i="1"/>
  <c r="E449" i="1"/>
  <c r="G432" i="1"/>
  <c r="I449" i="1"/>
  <c r="D169" i="1"/>
  <c r="G169" i="1"/>
  <c r="E186" i="1"/>
  <c r="I186" i="1"/>
  <c r="E185" i="1"/>
  <c r="I185" i="1"/>
  <c r="G168" i="1"/>
  <c r="D168" i="1"/>
  <c r="G438" i="1"/>
  <c r="E455" i="1"/>
  <c r="D438" i="1"/>
  <c r="I455" i="1"/>
  <c r="D162" i="1"/>
  <c r="E179" i="1"/>
  <c r="I179" i="1"/>
  <c r="G162" i="1"/>
  <c r="I182" i="1"/>
  <c r="G165" i="1"/>
  <c r="E182" i="1"/>
  <c r="D165" i="1"/>
  <c r="D164" i="1"/>
  <c r="G164" i="1"/>
  <c r="I181" i="1"/>
  <c r="E181" i="1"/>
  <c r="D172" i="1"/>
  <c r="E189" i="1"/>
  <c r="G172" i="1"/>
  <c r="I189" i="1"/>
  <c r="I177" i="1"/>
  <c r="G160" i="1"/>
  <c r="D160" i="1"/>
  <c r="E177" i="1"/>
  <c r="E178" i="1" l="1"/>
  <c r="D178" i="1" s="1"/>
  <c r="I178" i="1"/>
  <c r="G161" i="1"/>
  <c r="I192" i="1"/>
  <c r="G175" i="1"/>
  <c r="E192" i="1"/>
  <c r="D175" i="1"/>
  <c r="G185" i="1"/>
  <c r="I202" i="1"/>
  <c r="E202" i="1"/>
  <c r="D185" i="1"/>
  <c r="I203" i="1"/>
  <c r="D186" i="1"/>
  <c r="E203" i="1"/>
  <c r="G186" i="1"/>
  <c r="D182" i="1"/>
  <c r="G182" i="1"/>
  <c r="I199" i="1"/>
  <c r="E199" i="1"/>
  <c r="G184" i="1"/>
  <c r="E201" i="1"/>
  <c r="I201" i="1"/>
  <c r="D184" i="1"/>
  <c r="E204" i="1"/>
  <c r="G187" i="1"/>
  <c r="I204" i="1"/>
  <c r="D187" i="1"/>
  <c r="I194" i="1"/>
  <c r="D177" i="1"/>
  <c r="G177" i="1"/>
  <c r="E194" i="1"/>
  <c r="G180" i="1"/>
  <c r="E197" i="1"/>
  <c r="I197" i="1"/>
  <c r="D180" i="1"/>
  <c r="G449" i="1"/>
  <c r="D449" i="1"/>
  <c r="E466" i="1"/>
  <c r="I466" i="1"/>
  <c r="I198" i="1"/>
  <c r="G181" i="1"/>
  <c r="D181" i="1"/>
  <c r="E198" i="1"/>
  <c r="I196" i="1"/>
  <c r="D179" i="1"/>
  <c r="G179" i="1"/>
  <c r="E196" i="1"/>
  <c r="D183" i="1"/>
  <c r="I200" i="1"/>
  <c r="G183" i="1"/>
  <c r="E200" i="1"/>
  <c r="E472" i="1"/>
  <c r="I472" i="1"/>
  <c r="G455" i="1"/>
  <c r="D455" i="1"/>
  <c r="I193" i="1"/>
  <c r="E193" i="1"/>
  <c r="G176" i="1"/>
  <c r="D176" i="1"/>
  <c r="E206" i="1"/>
  <c r="D189" i="1"/>
  <c r="G189" i="1"/>
  <c r="I206" i="1"/>
  <c r="E205" i="1"/>
  <c r="I205" i="1"/>
  <c r="D188" i="1"/>
  <c r="G188" i="1"/>
  <c r="G178" i="1" l="1"/>
  <c r="I195" i="1"/>
  <c r="E195" i="1"/>
  <c r="D195" i="1" s="1"/>
  <c r="G199" i="1"/>
  <c r="E216" i="1"/>
  <c r="D199" i="1"/>
  <c r="I216" i="1"/>
  <c r="G197" i="1"/>
  <c r="E214" i="1"/>
  <c r="D197" i="1"/>
  <c r="I214" i="1"/>
  <c r="I215" i="1"/>
  <c r="E215" i="1"/>
  <c r="D198" i="1"/>
  <c r="G198" i="1"/>
  <c r="E211" i="1"/>
  <c r="G194" i="1"/>
  <c r="I211" i="1"/>
  <c r="D194" i="1"/>
  <c r="G203" i="1"/>
  <c r="D203" i="1"/>
  <c r="E220" i="1"/>
  <c r="I220" i="1"/>
  <c r="D193" i="1"/>
  <c r="G193" i="1"/>
  <c r="I210" i="1"/>
  <c r="E210" i="1"/>
  <c r="G200" i="1"/>
  <c r="E217" i="1"/>
  <c r="I217" i="1"/>
  <c r="D200" i="1"/>
  <c r="G466" i="1"/>
  <c r="E483" i="1"/>
  <c r="D466" i="1"/>
  <c r="I483" i="1"/>
  <c r="I219" i="1"/>
  <c r="G202" i="1"/>
  <c r="E219" i="1"/>
  <c r="D202" i="1"/>
  <c r="G472" i="1"/>
  <c r="E489" i="1"/>
  <c r="D472" i="1"/>
  <c r="I489" i="1"/>
  <c r="E213" i="1"/>
  <c r="G196" i="1"/>
  <c r="I213" i="1"/>
  <c r="D196" i="1"/>
  <c r="E222" i="1"/>
  <c r="D205" i="1"/>
  <c r="G205" i="1"/>
  <c r="I222" i="1"/>
  <c r="D204" i="1"/>
  <c r="G204" i="1"/>
  <c r="I221" i="1"/>
  <c r="E221" i="1"/>
  <c r="D192" i="1"/>
  <c r="E209" i="1"/>
  <c r="I209" i="1"/>
  <c r="G192" i="1"/>
  <c r="E218" i="1"/>
  <c r="D201" i="1"/>
  <c r="G201" i="1"/>
  <c r="I218" i="1"/>
  <c r="D206" i="1"/>
  <c r="I223" i="1"/>
  <c r="G206" i="1"/>
  <c r="E223" i="1"/>
  <c r="E212" i="1" l="1"/>
  <c r="I229" i="1" s="1"/>
  <c r="G195" i="1"/>
  <c r="I212" i="1"/>
  <c r="I500" i="1"/>
  <c r="D483" i="1"/>
  <c r="G483" i="1"/>
  <c r="E500" i="1"/>
  <c r="G222" i="1"/>
  <c r="I239" i="1"/>
  <c r="D222" i="1"/>
  <c r="E239" i="1"/>
  <c r="D211" i="1"/>
  <c r="I228" i="1"/>
  <c r="E228" i="1"/>
  <c r="G211" i="1"/>
  <c r="I234" i="1"/>
  <c r="G217" i="1"/>
  <c r="E234" i="1"/>
  <c r="D217" i="1"/>
  <c r="I232" i="1"/>
  <c r="G215" i="1"/>
  <c r="D215" i="1"/>
  <c r="E232" i="1"/>
  <c r="G213" i="1"/>
  <c r="D213" i="1"/>
  <c r="I230" i="1"/>
  <c r="E230" i="1"/>
  <c r="D210" i="1"/>
  <c r="G210" i="1"/>
  <c r="E227" i="1"/>
  <c r="I227" i="1"/>
  <c r="E226" i="1"/>
  <c r="D209" i="1"/>
  <c r="G209" i="1"/>
  <c r="I226" i="1"/>
  <c r="E231" i="1"/>
  <c r="G214" i="1"/>
  <c r="D214" i="1"/>
  <c r="I231" i="1"/>
  <c r="I506" i="1"/>
  <c r="D489" i="1"/>
  <c r="E506" i="1"/>
  <c r="G489" i="1"/>
  <c r="G221" i="1"/>
  <c r="I238" i="1"/>
  <c r="E238" i="1"/>
  <c r="D221" i="1"/>
  <c r="I236" i="1"/>
  <c r="E236" i="1"/>
  <c r="G219" i="1"/>
  <c r="D219" i="1"/>
  <c r="D220" i="1"/>
  <c r="E237" i="1"/>
  <c r="G220" i="1"/>
  <c r="I237" i="1"/>
  <c r="G223" i="1"/>
  <c r="D223" i="1"/>
  <c r="E240" i="1"/>
  <c r="I240" i="1"/>
  <c r="I233" i="1"/>
  <c r="D216" i="1"/>
  <c r="E233" i="1"/>
  <c r="G216" i="1"/>
  <c r="E235" i="1"/>
  <c r="I235" i="1"/>
  <c r="D218" i="1"/>
  <c r="G218" i="1"/>
  <c r="G212" i="1" l="1"/>
  <c r="E229" i="1"/>
  <c r="I246" i="1" s="1"/>
  <c r="D212" i="1"/>
  <c r="G506" i="1"/>
  <c r="I523" i="1"/>
  <c r="D506" i="1"/>
  <c r="E523" i="1"/>
  <c r="D240" i="1"/>
  <c r="G240" i="1"/>
  <c r="I257" i="1"/>
  <c r="E257" i="1"/>
  <c r="G232" i="1"/>
  <c r="E249" i="1"/>
  <c r="I249" i="1"/>
  <c r="D232" i="1"/>
  <c r="I245" i="1"/>
  <c r="D228" i="1"/>
  <c r="E245" i="1"/>
  <c r="G228" i="1"/>
  <c r="I254" i="1"/>
  <c r="E254" i="1"/>
  <c r="D237" i="1"/>
  <c r="G237" i="1"/>
  <c r="I248" i="1"/>
  <c r="G231" i="1"/>
  <c r="D231" i="1"/>
  <c r="E248" i="1"/>
  <c r="D239" i="1"/>
  <c r="G239" i="1"/>
  <c r="I256" i="1"/>
  <c r="E256" i="1"/>
  <c r="D230" i="1"/>
  <c r="I247" i="1"/>
  <c r="E247" i="1"/>
  <c r="G230" i="1"/>
  <c r="G234" i="1"/>
  <c r="D234" i="1"/>
  <c r="I251" i="1"/>
  <c r="E251" i="1"/>
  <c r="I253" i="1"/>
  <c r="G236" i="1"/>
  <c r="E253" i="1"/>
  <c r="D236" i="1"/>
  <c r="G226" i="1"/>
  <c r="D226" i="1"/>
  <c r="I243" i="1"/>
  <c r="E243" i="1"/>
  <c r="E517" i="1"/>
  <c r="D500" i="1"/>
  <c r="I517" i="1"/>
  <c r="G500" i="1"/>
  <c r="G238" i="1"/>
  <c r="D238" i="1"/>
  <c r="I255" i="1"/>
  <c r="E255" i="1"/>
  <c r="D227" i="1"/>
  <c r="G227" i="1"/>
  <c r="I244" i="1"/>
  <c r="E244" i="1"/>
  <c r="I252" i="1"/>
  <c r="D235" i="1"/>
  <c r="G235" i="1"/>
  <c r="E252" i="1"/>
  <c r="I250" i="1"/>
  <c r="G233" i="1"/>
  <c r="E250" i="1"/>
  <c r="D233" i="1"/>
  <c r="G229" i="1" l="1"/>
  <c r="D229" i="1"/>
  <c r="E246" i="1"/>
  <c r="D246" i="1" s="1"/>
  <c r="E266" i="1"/>
  <c r="I266" i="1"/>
  <c r="D249" i="1"/>
  <c r="G249" i="1"/>
  <c r="D248" i="1"/>
  <c r="E265" i="1"/>
  <c r="I265" i="1"/>
  <c r="G248" i="1"/>
  <c r="I274" i="1"/>
  <c r="G257" i="1"/>
  <c r="D257" i="1"/>
  <c r="E274" i="1"/>
  <c r="D253" i="1"/>
  <c r="E270" i="1"/>
  <c r="G253" i="1"/>
  <c r="I270" i="1"/>
  <c r="D243" i="1"/>
  <c r="I260" i="1"/>
  <c r="E260" i="1"/>
  <c r="G243" i="1"/>
  <c r="D255" i="1"/>
  <c r="I272" i="1"/>
  <c r="G255" i="1"/>
  <c r="E272" i="1"/>
  <c r="D251" i="1"/>
  <c r="E268" i="1"/>
  <c r="I268" i="1"/>
  <c r="G251" i="1"/>
  <c r="E273" i="1"/>
  <c r="G256" i="1"/>
  <c r="I273" i="1"/>
  <c r="D256" i="1"/>
  <c r="D244" i="1"/>
  <c r="E261" i="1"/>
  <c r="E278" i="1" s="1"/>
  <c r="I261" i="1"/>
  <c r="G244" i="1"/>
  <c r="G254" i="1"/>
  <c r="I271" i="1"/>
  <c r="D254" i="1"/>
  <c r="E271" i="1"/>
  <c r="E269" i="1"/>
  <c r="D252" i="1"/>
  <c r="I269" i="1"/>
  <c r="G252" i="1"/>
  <c r="G523" i="1"/>
  <c r="E540" i="1"/>
  <c r="D523" i="1"/>
  <c r="I540" i="1"/>
  <c r="I264" i="1"/>
  <c r="D247" i="1"/>
  <c r="E264" i="1"/>
  <c r="G247" i="1"/>
  <c r="I262" i="1"/>
  <c r="D245" i="1"/>
  <c r="E262" i="1"/>
  <c r="G245" i="1"/>
  <c r="I267" i="1"/>
  <c r="E267" i="1"/>
  <c r="D250" i="1"/>
  <c r="G250" i="1"/>
  <c r="E534" i="1"/>
  <c r="D517" i="1"/>
  <c r="I534" i="1"/>
  <c r="G517" i="1"/>
  <c r="D278" i="1" l="1"/>
  <c r="G278" i="1"/>
  <c r="E295" i="1"/>
  <c r="I295" i="1"/>
  <c r="G246" i="1"/>
  <c r="E263" i="1"/>
  <c r="I280" i="1" s="1"/>
  <c r="I263" i="1"/>
  <c r="D262" i="1"/>
  <c r="G262" i="1"/>
  <c r="I279" i="1"/>
  <c r="G268" i="1"/>
  <c r="D268" i="1"/>
  <c r="I285" i="1"/>
  <c r="I288" i="1"/>
  <c r="E288" i="1"/>
  <c r="D271" i="1"/>
  <c r="G271" i="1"/>
  <c r="D272" i="1"/>
  <c r="G272" i="1"/>
  <c r="I289" i="1"/>
  <c r="E289" i="1"/>
  <c r="E281" i="1"/>
  <c r="I281" i="1"/>
  <c r="D264" i="1"/>
  <c r="G264" i="1"/>
  <c r="I282" i="1"/>
  <c r="E282" i="1"/>
  <c r="G265" i="1"/>
  <c r="D265" i="1"/>
  <c r="I291" i="1"/>
  <c r="G274" i="1"/>
  <c r="E291" i="1"/>
  <c r="D274" i="1"/>
  <c r="G260" i="1"/>
  <c r="D260" i="1"/>
  <c r="E277" i="1"/>
  <c r="I277" i="1"/>
  <c r="D261" i="1"/>
  <c r="G261" i="1"/>
  <c r="E551" i="1"/>
  <c r="G534" i="1"/>
  <c r="I551" i="1"/>
  <c r="D534" i="1"/>
  <c r="E283" i="1"/>
  <c r="D266" i="1"/>
  <c r="I283" i="1"/>
  <c r="G266" i="1"/>
  <c r="D540" i="1"/>
  <c r="G540" i="1"/>
  <c r="I557" i="1"/>
  <c r="E557" i="1"/>
  <c r="I284" i="1"/>
  <c r="D267" i="1"/>
  <c r="E284" i="1"/>
  <c r="G267" i="1"/>
  <c r="I287" i="1"/>
  <c r="E287" i="1"/>
  <c r="D270" i="1"/>
  <c r="G270" i="1"/>
  <c r="D269" i="1"/>
  <c r="E286" i="1"/>
  <c r="I286" i="1"/>
  <c r="G269" i="1"/>
  <c r="E290" i="1"/>
  <c r="G273" i="1"/>
  <c r="D273" i="1"/>
  <c r="I290" i="1"/>
  <c r="G295" i="1" l="1"/>
  <c r="E312" i="1"/>
  <c r="D295" i="1"/>
  <c r="I312" i="1"/>
  <c r="E280" i="1"/>
  <c r="D263" i="1"/>
  <c r="G263" i="1"/>
  <c r="D286" i="1"/>
  <c r="I303" i="1"/>
  <c r="G286" i="1"/>
  <c r="E303" i="1"/>
  <c r="G291" i="1"/>
  <c r="D291" i="1"/>
  <c r="E308" i="1"/>
  <c r="I308" i="1"/>
  <c r="G288" i="1"/>
  <c r="D288" i="1"/>
  <c r="E305" i="1"/>
  <c r="I305" i="1"/>
  <c r="I304" i="1"/>
  <c r="G287" i="1"/>
  <c r="E304" i="1"/>
  <c r="D287" i="1"/>
  <c r="G283" i="1"/>
  <c r="D283" i="1"/>
  <c r="E300" i="1"/>
  <c r="I300" i="1"/>
  <c r="I299" i="1"/>
  <c r="G282" i="1"/>
  <c r="E299" i="1"/>
  <c r="D282" i="1"/>
  <c r="I301" i="1"/>
  <c r="G284" i="1"/>
  <c r="D284" i="1"/>
  <c r="E301" i="1"/>
  <c r="G551" i="1"/>
  <c r="I568" i="1"/>
  <c r="D551" i="1"/>
  <c r="E568" i="1"/>
  <c r="I574" i="1"/>
  <c r="G557" i="1"/>
  <c r="E574" i="1"/>
  <c r="D557" i="1"/>
  <c r="G280" i="1"/>
  <c r="I297" i="1"/>
  <c r="E297" i="1"/>
  <c r="D280" i="1"/>
  <c r="D281" i="1"/>
  <c r="G281" i="1"/>
  <c r="E298" i="1"/>
  <c r="I298" i="1"/>
  <c r="D290" i="1"/>
  <c r="G290" i="1"/>
  <c r="I307" i="1"/>
  <c r="E307" i="1"/>
  <c r="D289" i="1"/>
  <c r="E306" i="1"/>
  <c r="G289" i="1"/>
  <c r="I306" i="1"/>
  <c r="D277" i="1"/>
  <c r="E294" i="1"/>
  <c r="I294" i="1"/>
  <c r="G277" i="1"/>
  <c r="D312" i="1" l="1"/>
  <c r="E329" i="1"/>
  <c r="G312" i="1"/>
  <c r="I329" i="1"/>
  <c r="E315" i="1"/>
  <c r="G298" i="1"/>
  <c r="I315" i="1"/>
  <c r="D298" i="1"/>
  <c r="G304" i="1"/>
  <c r="E321" i="1"/>
  <c r="D304" i="1"/>
  <c r="I321" i="1"/>
  <c r="G301" i="1"/>
  <c r="D301" i="1"/>
  <c r="I318" i="1"/>
  <c r="E318" i="1"/>
  <c r="E314" i="1"/>
  <c r="G297" i="1"/>
  <c r="D297" i="1"/>
  <c r="I314" i="1"/>
  <c r="E322" i="1"/>
  <c r="I322" i="1"/>
  <c r="D305" i="1"/>
  <c r="G305" i="1"/>
  <c r="I311" i="1"/>
  <c r="D294" i="1"/>
  <c r="E311" i="1"/>
  <c r="G294" i="1"/>
  <c r="G574" i="1"/>
  <c r="D574" i="1"/>
  <c r="E591" i="1"/>
  <c r="I591" i="1"/>
  <c r="D299" i="1"/>
  <c r="I316" i="1"/>
  <c r="G299" i="1"/>
  <c r="E316" i="1"/>
  <c r="E325" i="1"/>
  <c r="G308" i="1"/>
  <c r="D308" i="1"/>
  <c r="I325" i="1"/>
  <c r="I323" i="1"/>
  <c r="D306" i="1"/>
  <c r="G306" i="1"/>
  <c r="E323" i="1"/>
  <c r="D307" i="1"/>
  <c r="I324" i="1"/>
  <c r="E324" i="1"/>
  <c r="G307" i="1"/>
  <c r="I585" i="1"/>
  <c r="E585" i="1"/>
  <c r="D568" i="1"/>
  <c r="G568" i="1"/>
  <c r="D303" i="1"/>
  <c r="E320" i="1"/>
  <c r="I320" i="1"/>
  <c r="G303" i="1"/>
  <c r="G300" i="1"/>
  <c r="D300" i="1"/>
  <c r="I317" i="1"/>
  <c r="E317" i="1"/>
  <c r="I346" i="1" l="1"/>
  <c r="D329" i="1"/>
  <c r="G329" i="1"/>
  <c r="E346" i="1"/>
  <c r="D324" i="1"/>
  <c r="G324" i="1"/>
  <c r="E341" i="1"/>
  <c r="I341" i="1"/>
  <c r="I608" i="1"/>
  <c r="D591" i="1"/>
  <c r="G591" i="1"/>
  <c r="E608" i="1"/>
  <c r="I334" i="1"/>
  <c r="E334" i="1"/>
  <c r="G317" i="1"/>
  <c r="D317" i="1"/>
  <c r="I340" i="1"/>
  <c r="G323" i="1"/>
  <c r="D323" i="1"/>
  <c r="E340" i="1"/>
  <c r="G318" i="1"/>
  <c r="E335" i="1"/>
  <c r="D318" i="1"/>
  <c r="I335" i="1"/>
  <c r="G311" i="1"/>
  <c r="E328" i="1"/>
  <c r="D311" i="1"/>
  <c r="I328" i="1"/>
  <c r="D321" i="1"/>
  <c r="G321" i="1"/>
  <c r="I338" i="1"/>
  <c r="E338" i="1"/>
  <c r="E342" i="1"/>
  <c r="G325" i="1"/>
  <c r="D325" i="1"/>
  <c r="I342" i="1"/>
  <c r="E339" i="1"/>
  <c r="D322" i="1"/>
  <c r="G322" i="1"/>
  <c r="I339" i="1"/>
  <c r="G316" i="1"/>
  <c r="D316" i="1"/>
  <c r="I333" i="1"/>
  <c r="E333" i="1"/>
  <c r="D320" i="1"/>
  <c r="I337" i="1"/>
  <c r="G320" i="1"/>
  <c r="E337" i="1"/>
  <c r="D585" i="1"/>
  <c r="E602" i="1"/>
  <c r="I602" i="1"/>
  <c r="G585" i="1"/>
  <c r="I331" i="1"/>
  <c r="G314" i="1"/>
  <c r="E331" i="1"/>
  <c r="D314" i="1"/>
  <c r="G315" i="1"/>
  <c r="D315" i="1"/>
  <c r="E332" i="1"/>
  <c r="I332" i="1"/>
  <c r="I363" i="1" l="1"/>
  <c r="G346" i="1"/>
  <c r="D346" i="1"/>
  <c r="E363" i="1"/>
  <c r="E357" i="1"/>
  <c r="D340" i="1"/>
  <c r="I357" i="1"/>
  <c r="G340" i="1"/>
  <c r="I350" i="1"/>
  <c r="E350" i="1"/>
  <c r="G333" i="1"/>
  <c r="D333" i="1"/>
  <c r="I345" i="1"/>
  <c r="D328" i="1"/>
  <c r="G328" i="1"/>
  <c r="E345" i="1"/>
  <c r="D334" i="1"/>
  <c r="G334" i="1"/>
  <c r="I351" i="1"/>
  <c r="E351" i="1"/>
  <c r="G338" i="1"/>
  <c r="D338" i="1"/>
  <c r="E355" i="1"/>
  <c r="I355" i="1"/>
  <c r="D608" i="1"/>
  <c r="G608" i="1"/>
  <c r="E625" i="1"/>
  <c r="I625" i="1"/>
  <c r="E348" i="1"/>
  <c r="D331" i="1"/>
  <c r="I348" i="1"/>
  <c r="G331" i="1"/>
  <c r="E354" i="1"/>
  <c r="G337" i="1"/>
  <c r="D337" i="1"/>
  <c r="I354" i="1"/>
  <c r="I356" i="1"/>
  <c r="E356" i="1"/>
  <c r="D339" i="1"/>
  <c r="G339" i="1"/>
  <c r="G332" i="1"/>
  <c r="D332" i="1"/>
  <c r="I349" i="1"/>
  <c r="E349" i="1"/>
  <c r="G341" i="1"/>
  <c r="I358" i="1"/>
  <c r="D341" i="1"/>
  <c r="E358" i="1"/>
  <c r="E619" i="1"/>
  <c r="I619" i="1"/>
  <c r="D602" i="1"/>
  <c r="G602" i="1"/>
  <c r="D335" i="1"/>
  <c r="E352" i="1"/>
  <c r="G335" i="1"/>
  <c r="I352" i="1"/>
  <c r="E359" i="1"/>
  <c r="D342" i="1"/>
  <c r="G342" i="1"/>
  <c r="I359" i="1"/>
  <c r="I380" i="1" l="1"/>
  <c r="G363" i="1"/>
  <c r="E380" i="1"/>
  <c r="D363" i="1"/>
  <c r="I375" i="1"/>
  <c r="D358" i="1"/>
  <c r="E375" i="1"/>
  <c r="G358" i="1"/>
  <c r="I371" i="1"/>
  <c r="D354" i="1"/>
  <c r="E371" i="1"/>
  <c r="G354" i="1"/>
  <c r="D349" i="1"/>
  <c r="G349" i="1"/>
  <c r="E366" i="1"/>
  <c r="I366" i="1"/>
  <c r="D345" i="1"/>
  <c r="G345" i="1"/>
  <c r="E362" i="1"/>
  <c r="I362" i="1"/>
  <c r="I365" i="1"/>
  <c r="D348" i="1"/>
  <c r="E365" i="1"/>
  <c r="G348" i="1"/>
  <c r="E376" i="1"/>
  <c r="G359" i="1"/>
  <c r="I376" i="1"/>
  <c r="D359" i="1"/>
  <c r="I642" i="1"/>
  <c r="G625" i="1"/>
  <c r="E642" i="1"/>
  <c r="D625" i="1"/>
  <c r="G356" i="1"/>
  <c r="D356" i="1"/>
  <c r="I373" i="1"/>
  <c r="E373" i="1"/>
  <c r="D350" i="1"/>
  <c r="G350" i="1"/>
  <c r="I367" i="1"/>
  <c r="E367" i="1"/>
  <c r="E368" i="1"/>
  <c r="D351" i="1"/>
  <c r="G351" i="1"/>
  <c r="I368" i="1"/>
  <c r="I369" i="1"/>
  <c r="G352" i="1"/>
  <c r="D352" i="1"/>
  <c r="E369" i="1"/>
  <c r="I372" i="1"/>
  <c r="D355" i="1"/>
  <c r="G355" i="1"/>
  <c r="E372" i="1"/>
  <c r="E636" i="1"/>
  <c r="D619" i="1"/>
  <c r="G619" i="1"/>
  <c r="I636" i="1"/>
  <c r="G357" i="1"/>
  <c r="D357" i="1"/>
  <c r="I374" i="1"/>
  <c r="E374" i="1"/>
  <c r="D380" i="1" l="1"/>
  <c r="I397" i="1"/>
  <c r="E397" i="1"/>
  <c r="G380" i="1"/>
  <c r="G373" i="1"/>
  <c r="D373" i="1"/>
  <c r="I390" i="1"/>
  <c r="E390" i="1"/>
  <c r="G362" i="1"/>
  <c r="I379" i="1"/>
  <c r="D362" i="1"/>
  <c r="E379" i="1"/>
  <c r="I386" i="1"/>
  <c r="G369" i="1"/>
  <c r="D369" i="1"/>
  <c r="E386" i="1"/>
  <c r="G372" i="1"/>
  <c r="I389" i="1"/>
  <c r="E389" i="1"/>
  <c r="D372" i="1"/>
  <c r="E383" i="1"/>
  <c r="I383" i="1"/>
  <c r="G366" i="1"/>
  <c r="D366" i="1"/>
  <c r="I659" i="1"/>
  <c r="G642" i="1"/>
  <c r="E659" i="1"/>
  <c r="D642" i="1"/>
  <c r="I388" i="1"/>
  <c r="G371" i="1"/>
  <c r="D371" i="1"/>
  <c r="E388" i="1"/>
  <c r="G374" i="1"/>
  <c r="E391" i="1"/>
  <c r="D374" i="1"/>
  <c r="I391" i="1"/>
  <c r="E393" i="1"/>
  <c r="G376" i="1"/>
  <c r="I393" i="1"/>
  <c r="D376" i="1"/>
  <c r="G367" i="1"/>
  <c r="D367" i="1"/>
  <c r="E384" i="1"/>
  <c r="I384" i="1"/>
  <c r="D368" i="1"/>
  <c r="E385" i="1"/>
  <c r="G368" i="1"/>
  <c r="I385" i="1"/>
  <c r="E392" i="1"/>
  <c r="D375" i="1"/>
  <c r="G375" i="1"/>
  <c r="I392" i="1"/>
  <c r="D365" i="1"/>
  <c r="E382" i="1"/>
  <c r="I382" i="1"/>
  <c r="G365" i="1"/>
  <c r="I653" i="1"/>
  <c r="D636" i="1"/>
  <c r="G636" i="1"/>
  <c r="E653" i="1"/>
  <c r="E414" i="1" l="1"/>
  <c r="I414" i="1"/>
  <c r="G397" i="1"/>
  <c r="D397" i="1"/>
  <c r="E406" i="1"/>
  <c r="D389" i="1"/>
  <c r="I406" i="1"/>
  <c r="G389" i="1"/>
  <c r="E403" i="1"/>
  <c r="I403" i="1"/>
  <c r="D386" i="1"/>
  <c r="G386" i="1"/>
  <c r="E401" i="1"/>
  <c r="D384" i="1"/>
  <c r="I401" i="1"/>
  <c r="G384" i="1"/>
  <c r="D388" i="1"/>
  <c r="I405" i="1"/>
  <c r="G388" i="1"/>
  <c r="E405" i="1"/>
  <c r="D379" i="1"/>
  <c r="E396" i="1"/>
  <c r="I396" i="1"/>
  <c r="G379" i="1"/>
  <c r="G659" i="1"/>
  <c r="D659" i="1"/>
  <c r="D382" i="1"/>
  <c r="G382" i="1"/>
  <c r="E399" i="1"/>
  <c r="I399" i="1"/>
  <c r="E410" i="1"/>
  <c r="G393" i="1"/>
  <c r="I410" i="1"/>
  <c r="D393" i="1"/>
  <c r="D390" i="1"/>
  <c r="E407" i="1"/>
  <c r="G390" i="1"/>
  <c r="I407" i="1"/>
  <c r="D385" i="1"/>
  <c r="I402" i="1"/>
  <c r="E402" i="1"/>
  <c r="G385" i="1"/>
  <c r="D391" i="1"/>
  <c r="E408" i="1"/>
  <c r="G391" i="1"/>
  <c r="I408" i="1"/>
  <c r="D653" i="1"/>
  <c r="G653" i="1"/>
  <c r="E409" i="1"/>
  <c r="G392" i="1"/>
  <c r="D392" i="1"/>
  <c r="I409" i="1"/>
  <c r="I400" i="1"/>
  <c r="D383" i="1"/>
  <c r="E400" i="1"/>
  <c r="G383" i="1"/>
  <c r="G414" i="1" l="1"/>
  <c r="E431" i="1"/>
  <c r="I431" i="1"/>
  <c r="D414" i="1"/>
  <c r="I426" i="1"/>
  <c r="G409" i="1"/>
  <c r="E426" i="1"/>
  <c r="D409" i="1"/>
  <c r="E427" i="1"/>
  <c r="G410" i="1"/>
  <c r="I427" i="1"/>
  <c r="D410" i="1"/>
  <c r="D401" i="1"/>
  <c r="E418" i="1"/>
  <c r="G401" i="1"/>
  <c r="I418" i="1"/>
  <c r="G408" i="1"/>
  <c r="I425" i="1"/>
  <c r="E425" i="1"/>
  <c r="D408" i="1"/>
  <c r="I416" i="1"/>
  <c r="G399" i="1"/>
  <c r="D399" i="1"/>
  <c r="E416" i="1"/>
  <c r="G402" i="1"/>
  <c r="I419" i="1"/>
  <c r="E419" i="1"/>
  <c r="D402" i="1"/>
  <c r="E420" i="1"/>
  <c r="I420" i="1"/>
  <c r="D403" i="1"/>
  <c r="G403" i="1"/>
  <c r="D400" i="1"/>
  <c r="I417" i="1"/>
  <c r="G400" i="1"/>
  <c r="E417" i="1"/>
  <c r="D396" i="1"/>
  <c r="I413" i="1"/>
  <c r="G396" i="1"/>
  <c r="E413" i="1"/>
  <c r="G407" i="1"/>
  <c r="I424" i="1"/>
  <c r="D407" i="1"/>
  <c r="E424" i="1"/>
  <c r="I422" i="1"/>
  <c r="G405" i="1"/>
  <c r="E422" i="1"/>
  <c r="D405" i="1"/>
  <c r="E423" i="1"/>
  <c r="I423" i="1"/>
  <c r="G406" i="1"/>
  <c r="D406" i="1"/>
  <c r="G431" i="1" l="1"/>
  <c r="I448" i="1"/>
  <c r="E448" i="1"/>
  <c r="D431" i="1"/>
  <c r="I442" i="1"/>
  <c r="D425" i="1"/>
  <c r="G425" i="1"/>
  <c r="E442" i="1"/>
  <c r="G423" i="1"/>
  <c r="D423" i="1"/>
  <c r="I440" i="1"/>
  <c r="E440" i="1"/>
  <c r="E439" i="1"/>
  <c r="D422" i="1"/>
  <c r="I439" i="1"/>
  <c r="G422" i="1"/>
  <c r="I435" i="1"/>
  <c r="D418" i="1"/>
  <c r="G418" i="1"/>
  <c r="E435" i="1"/>
  <c r="E437" i="1"/>
  <c r="I437" i="1"/>
  <c r="D420" i="1"/>
  <c r="G420" i="1"/>
  <c r="I441" i="1"/>
  <c r="D424" i="1"/>
  <c r="G424" i="1"/>
  <c r="E441" i="1"/>
  <c r="E436" i="1"/>
  <c r="I436" i="1"/>
  <c r="D419" i="1"/>
  <c r="G419" i="1"/>
  <c r="I444" i="1"/>
  <c r="D427" i="1"/>
  <c r="E444" i="1"/>
  <c r="G427" i="1"/>
  <c r="E430" i="1"/>
  <c r="I430" i="1"/>
  <c r="D413" i="1"/>
  <c r="G413" i="1"/>
  <c r="G416" i="1"/>
  <c r="E433" i="1"/>
  <c r="D416" i="1"/>
  <c r="I433" i="1"/>
  <c r="I443" i="1"/>
  <c r="E443" i="1"/>
  <c r="G426" i="1"/>
  <c r="D426" i="1"/>
  <c r="E434" i="1"/>
  <c r="I434" i="1"/>
  <c r="D417" i="1"/>
  <c r="G417" i="1"/>
  <c r="D448" i="1" l="1"/>
  <c r="E465" i="1"/>
  <c r="G448" i="1"/>
  <c r="I465" i="1"/>
  <c r="G444" i="1"/>
  <c r="I461" i="1"/>
  <c r="D444" i="1"/>
  <c r="E461" i="1"/>
  <c r="E452" i="1"/>
  <c r="G435" i="1"/>
  <c r="D435" i="1"/>
  <c r="I452" i="1"/>
  <c r="D439" i="1"/>
  <c r="E456" i="1"/>
  <c r="G439" i="1"/>
  <c r="I456" i="1"/>
  <c r="I451" i="1"/>
  <c r="E451" i="1"/>
  <c r="D434" i="1"/>
  <c r="G434" i="1"/>
  <c r="D440" i="1"/>
  <c r="I457" i="1"/>
  <c r="E457" i="1"/>
  <c r="G440" i="1"/>
  <c r="E460" i="1"/>
  <c r="D443" i="1"/>
  <c r="G443" i="1"/>
  <c r="I460" i="1"/>
  <c r="I450" i="1"/>
  <c r="E450" i="1"/>
  <c r="G433" i="1"/>
  <c r="D433" i="1"/>
  <c r="G436" i="1"/>
  <c r="E453" i="1"/>
  <c r="I453" i="1"/>
  <c r="D436" i="1"/>
  <c r="G441" i="1"/>
  <c r="D441" i="1"/>
  <c r="I458" i="1"/>
  <c r="E458" i="1"/>
  <c r="I459" i="1"/>
  <c r="D442" i="1"/>
  <c r="E459" i="1"/>
  <c r="G442" i="1"/>
  <c r="G430" i="1"/>
  <c r="D430" i="1"/>
  <c r="I447" i="1"/>
  <c r="E447" i="1"/>
  <c r="G437" i="1"/>
  <c r="I454" i="1"/>
  <c r="E454" i="1"/>
  <c r="D437" i="1"/>
  <c r="G465" i="1" l="1"/>
  <c r="D465" i="1"/>
  <c r="I482" i="1"/>
  <c r="E482" i="1"/>
  <c r="D451" i="1"/>
  <c r="E468" i="1"/>
  <c r="I468" i="1"/>
  <c r="G451" i="1"/>
  <c r="G453" i="1"/>
  <c r="E470" i="1"/>
  <c r="I470" i="1"/>
  <c r="D453" i="1"/>
  <c r="I471" i="1"/>
  <c r="E471" i="1"/>
  <c r="D454" i="1"/>
  <c r="G454" i="1"/>
  <c r="I473" i="1"/>
  <c r="E473" i="1"/>
  <c r="G456" i="1"/>
  <c r="D456" i="1"/>
  <c r="G447" i="1"/>
  <c r="I464" i="1"/>
  <c r="E464" i="1"/>
  <c r="D447" i="1"/>
  <c r="G459" i="1"/>
  <c r="D459" i="1"/>
  <c r="E476" i="1"/>
  <c r="I476" i="1"/>
  <c r="G460" i="1"/>
  <c r="I477" i="1"/>
  <c r="E477" i="1"/>
  <c r="D460" i="1"/>
  <c r="I469" i="1"/>
  <c r="E469" i="1"/>
  <c r="G452" i="1"/>
  <c r="D452" i="1"/>
  <c r="D458" i="1"/>
  <c r="G458" i="1"/>
  <c r="E475" i="1"/>
  <c r="I475" i="1"/>
  <c r="E478" i="1"/>
  <c r="G461" i="1"/>
  <c r="D461" i="1"/>
  <c r="I478" i="1"/>
  <c r="E474" i="1"/>
  <c r="G457" i="1"/>
  <c r="D457" i="1"/>
  <c r="I474" i="1"/>
  <c r="G450" i="1"/>
  <c r="E467" i="1"/>
  <c r="D450" i="1"/>
  <c r="I467" i="1"/>
  <c r="I499" i="1" l="1"/>
  <c r="D482" i="1"/>
  <c r="E499" i="1"/>
  <c r="G482" i="1"/>
  <c r="E490" i="1"/>
  <c r="G473" i="1"/>
  <c r="I490" i="1"/>
  <c r="D473" i="1"/>
  <c r="E494" i="1"/>
  <c r="G477" i="1"/>
  <c r="D477" i="1"/>
  <c r="I494" i="1"/>
  <c r="E486" i="1"/>
  <c r="D469" i="1"/>
  <c r="I486" i="1"/>
  <c r="G469" i="1"/>
  <c r="I488" i="1"/>
  <c r="E488" i="1"/>
  <c r="G471" i="1"/>
  <c r="D471" i="1"/>
  <c r="D474" i="1"/>
  <c r="E491" i="1"/>
  <c r="I491" i="1"/>
  <c r="G474" i="1"/>
  <c r="D476" i="1"/>
  <c r="G476" i="1"/>
  <c r="E493" i="1"/>
  <c r="I493" i="1"/>
  <c r="I487" i="1"/>
  <c r="D470" i="1"/>
  <c r="G470" i="1"/>
  <c r="E487" i="1"/>
  <c r="D478" i="1"/>
  <c r="E495" i="1"/>
  <c r="G478" i="1"/>
  <c r="I495" i="1"/>
  <c r="E481" i="1"/>
  <c r="G464" i="1"/>
  <c r="D464" i="1"/>
  <c r="I481" i="1"/>
  <c r="D475" i="1"/>
  <c r="G475" i="1"/>
  <c r="I492" i="1"/>
  <c r="E492" i="1"/>
  <c r="D468" i="1"/>
  <c r="I485" i="1"/>
  <c r="E485" i="1"/>
  <c r="G468" i="1"/>
  <c r="I484" i="1"/>
  <c r="E484" i="1"/>
  <c r="G467" i="1"/>
  <c r="D467" i="1"/>
  <c r="I516" i="1" l="1"/>
  <c r="G499" i="1"/>
  <c r="E516" i="1"/>
  <c r="D499" i="1"/>
  <c r="E505" i="1"/>
  <c r="G488" i="1"/>
  <c r="D488" i="1"/>
  <c r="I505" i="1"/>
  <c r="I504" i="1"/>
  <c r="G487" i="1"/>
  <c r="D487" i="1"/>
  <c r="E504" i="1"/>
  <c r="D486" i="1"/>
  <c r="E503" i="1"/>
  <c r="G486" i="1"/>
  <c r="I503" i="1"/>
  <c r="E510" i="1"/>
  <c r="D493" i="1"/>
  <c r="G493" i="1"/>
  <c r="I510" i="1"/>
  <c r="E501" i="1"/>
  <c r="I501" i="1"/>
  <c r="D484" i="1"/>
  <c r="G484" i="1"/>
  <c r="D492" i="1"/>
  <c r="E509" i="1"/>
  <c r="G492" i="1"/>
  <c r="I509" i="1"/>
  <c r="D494" i="1"/>
  <c r="I511" i="1"/>
  <c r="G494" i="1"/>
  <c r="E511" i="1"/>
  <c r="G485" i="1"/>
  <c r="E502" i="1"/>
  <c r="D485" i="1"/>
  <c r="I502" i="1"/>
  <c r="D491" i="1"/>
  <c r="I508" i="1"/>
  <c r="G491" i="1"/>
  <c r="E508" i="1"/>
  <c r="E512" i="1"/>
  <c r="G495" i="1"/>
  <c r="D495" i="1"/>
  <c r="I512" i="1"/>
  <c r="I498" i="1"/>
  <c r="E498" i="1"/>
  <c r="D481" i="1"/>
  <c r="G481" i="1"/>
  <c r="E507" i="1"/>
  <c r="I507" i="1"/>
  <c r="G490" i="1"/>
  <c r="D490" i="1"/>
  <c r="G516" i="1" l="1"/>
  <c r="D516" i="1"/>
  <c r="E533" i="1"/>
  <c r="I533" i="1"/>
  <c r="I519" i="1"/>
  <c r="E519" i="1"/>
  <c r="G502" i="1"/>
  <c r="D502" i="1"/>
  <c r="E527" i="1"/>
  <c r="I527" i="1"/>
  <c r="G510" i="1"/>
  <c r="D510" i="1"/>
  <c r="E528" i="1"/>
  <c r="G511" i="1"/>
  <c r="D511" i="1"/>
  <c r="I528" i="1"/>
  <c r="E520" i="1"/>
  <c r="I520" i="1"/>
  <c r="D503" i="1"/>
  <c r="G503" i="1"/>
  <c r="G504" i="1"/>
  <c r="D504" i="1"/>
  <c r="E521" i="1"/>
  <c r="I521" i="1"/>
  <c r="G498" i="1"/>
  <c r="D498" i="1"/>
  <c r="E515" i="1"/>
  <c r="I515" i="1"/>
  <c r="G509" i="1"/>
  <c r="I526" i="1"/>
  <c r="D509" i="1"/>
  <c r="E526" i="1"/>
  <c r="E529" i="1"/>
  <c r="I529" i="1"/>
  <c r="G512" i="1"/>
  <c r="D512" i="1"/>
  <c r="D508" i="1"/>
  <c r="E525" i="1"/>
  <c r="G508" i="1"/>
  <c r="I525" i="1"/>
  <c r="I524" i="1"/>
  <c r="E524" i="1"/>
  <c r="G507" i="1"/>
  <c r="D507" i="1"/>
  <c r="I518" i="1"/>
  <c r="D501" i="1"/>
  <c r="G501" i="1"/>
  <c r="E518" i="1"/>
  <c r="G505" i="1"/>
  <c r="E522" i="1"/>
  <c r="D505" i="1"/>
  <c r="I522" i="1"/>
  <c r="D533" i="1" l="1"/>
  <c r="E550" i="1"/>
  <c r="I550" i="1"/>
  <c r="G533" i="1"/>
  <c r="E537" i="1"/>
  <c r="I537" i="1"/>
  <c r="G520" i="1"/>
  <c r="D520" i="1"/>
  <c r="D522" i="1"/>
  <c r="I539" i="1"/>
  <c r="G522" i="1"/>
  <c r="E539" i="1"/>
  <c r="D526" i="1"/>
  <c r="I543" i="1"/>
  <c r="G526" i="1"/>
  <c r="E543" i="1"/>
  <c r="D529" i="1"/>
  <c r="E546" i="1"/>
  <c r="G529" i="1"/>
  <c r="I546" i="1"/>
  <c r="D528" i="1"/>
  <c r="E545" i="1"/>
  <c r="G528" i="1"/>
  <c r="I545" i="1"/>
  <c r="G518" i="1"/>
  <c r="D518" i="1"/>
  <c r="I535" i="1"/>
  <c r="E535" i="1"/>
  <c r="E532" i="1"/>
  <c r="G515" i="1"/>
  <c r="D515" i="1"/>
  <c r="I532" i="1"/>
  <c r="I544" i="1"/>
  <c r="G527" i="1"/>
  <c r="E544" i="1"/>
  <c r="D527" i="1"/>
  <c r="D521" i="1"/>
  <c r="I538" i="1"/>
  <c r="E538" i="1"/>
  <c r="G521" i="1"/>
  <c r="E542" i="1"/>
  <c r="I542" i="1"/>
  <c r="G525" i="1"/>
  <c r="D525" i="1"/>
  <c r="E536" i="1"/>
  <c r="G519" i="1"/>
  <c r="D519" i="1"/>
  <c r="I536" i="1"/>
  <c r="I541" i="1"/>
  <c r="E541" i="1"/>
  <c r="D524" i="1"/>
  <c r="G524" i="1"/>
  <c r="E567" i="1" l="1"/>
  <c r="I567" i="1"/>
  <c r="D550" i="1"/>
  <c r="G550" i="1"/>
  <c r="I561" i="1"/>
  <c r="D544" i="1"/>
  <c r="E561" i="1"/>
  <c r="G544" i="1"/>
  <c r="I563" i="1"/>
  <c r="D546" i="1"/>
  <c r="E563" i="1"/>
  <c r="G546" i="1"/>
  <c r="E560" i="1"/>
  <c r="G543" i="1"/>
  <c r="D543" i="1"/>
  <c r="I560" i="1"/>
  <c r="I549" i="1"/>
  <c r="E549" i="1"/>
  <c r="D532" i="1"/>
  <c r="G532" i="1"/>
  <c r="I553" i="1"/>
  <c r="D536" i="1"/>
  <c r="G536" i="1"/>
  <c r="E553" i="1"/>
  <c r="D539" i="1"/>
  <c r="I556" i="1"/>
  <c r="E556" i="1"/>
  <c r="G539" i="1"/>
  <c r="E558" i="1"/>
  <c r="I558" i="1"/>
  <c r="D541" i="1"/>
  <c r="G541" i="1"/>
  <c r="E552" i="1"/>
  <c r="G535" i="1"/>
  <c r="D535" i="1"/>
  <c r="I552" i="1"/>
  <c r="D542" i="1"/>
  <c r="I559" i="1"/>
  <c r="E559" i="1"/>
  <c r="G542" i="1"/>
  <c r="G538" i="1"/>
  <c r="I555" i="1"/>
  <c r="D538" i="1"/>
  <c r="E555" i="1"/>
  <c r="D545" i="1"/>
  <c r="I562" i="1"/>
  <c r="G545" i="1"/>
  <c r="E562" i="1"/>
  <c r="D537" i="1"/>
  <c r="E554" i="1"/>
  <c r="I554" i="1"/>
  <c r="G537" i="1"/>
  <c r="G567" i="1" l="1"/>
  <c r="I584" i="1"/>
  <c r="D567" i="1"/>
  <c r="E584" i="1"/>
  <c r="G549" i="1"/>
  <c r="D549" i="1"/>
  <c r="I566" i="1"/>
  <c r="E566" i="1"/>
  <c r="E579" i="1"/>
  <c r="D562" i="1"/>
  <c r="I579" i="1"/>
  <c r="G562" i="1"/>
  <c r="E577" i="1"/>
  <c r="I577" i="1"/>
  <c r="D560" i="1"/>
  <c r="G560" i="1"/>
  <c r="E571" i="1"/>
  <c r="G554" i="1"/>
  <c r="D554" i="1"/>
  <c r="I571" i="1"/>
  <c r="D555" i="1"/>
  <c r="I572" i="1"/>
  <c r="G555" i="1"/>
  <c r="E572" i="1"/>
  <c r="D552" i="1"/>
  <c r="G552" i="1"/>
  <c r="I569" i="1"/>
  <c r="E569" i="1"/>
  <c r="G563" i="1"/>
  <c r="I580" i="1"/>
  <c r="D563" i="1"/>
  <c r="E580" i="1"/>
  <c r="I575" i="1"/>
  <c r="G558" i="1"/>
  <c r="D558" i="1"/>
  <c r="E575" i="1"/>
  <c r="G553" i="1"/>
  <c r="E570" i="1"/>
  <c r="D553" i="1"/>
  <c r="I570" i="1"/>
  <c r="E576" i="1"/>
  <c r="D559" i="1"/>
  <c r="G559" i="1"/>
  <c r="I576" i="1"/>
  <c r="G561" i="1"/>
  <c r="E578" i="1"/>
  <c r="D561" i="1"/>
  <c r="I578" i="1"/>
  <c r="D556" i="1"/>
  <c r="E573" i="1"/>
  <c r="G556" i="1"/>
  <c r="I573" i="1"/>
  <c r="I601" i="1" l="1"/>
  <c r="D584" i="1"/>
  <c r="E601" i="1"/>
  <c r="G584" i="1"/>
  <c r="D573" i="1"/>
  <c r="I590" i="1"/>
  <c r="E590" i="1"/>
  <c r="G573" i="1"/>
  <c r="E588" i="1"/>
  <c r="G571" i="1"/>
  <c r="I588" i="1"/>
  <c r="D571" i="1"/>
  <c r="E597" i="1"/>
  <c r="I597" i="1"/>
  <c r="D580" i="1"/>
  <c r="G580" i="1"/>
  <c r="G578" i="1"/>
  <c r="D578" i="1"/>
  <c r="E595" i="1"/>
  <c r="I595" i="1"/>
  <c r="E594" i="1"/>
  <c r="I594" i="1"/>
  <c r="G577" i="1"/>
  <c r="D577" i="1"/>
  <c r="D575" i="1"/>
  <c r="I592" i="1"/>
  <c r="G575" i="1"/>
  <c r="E592" i="1"/>
  <c r="G569" i="1"/>
  <c r="I586" i="1"/>
  <c r="E586" i="1"/>
  <c r="D569" i="1"/>
  <c r="D579" i="1"/>
  <c r="I596" i="1"/>
  <c r="G579" i="1"/>
  <c r="E596" i="1"/>
  <c r="I589" i="1"/>
  <c r="G572" i="1"/>
  <c r="E589" i="1"/>
  <c r="D572" i="1"/>
  <c r="D566" i="1"/>
  <c r="E583" i="1"/>
  <c r="G566" i="1"/>
  <c r="I583" i="1"/>
  <c r="I593" i="1"/>
  <c r="E593" i="1"/>
  <c r="G576" i="1"/>
  <c r="D576" i="1"/>
  <c r="E587" i="1"/>
  <c r="D570" i="1"/>
  <c r="I587" i="1"/>
  <c r="G570" i="1"/>
  <c r="D601" i="1" l="1"/>
  <c r="E618" i="1"/>
  <c r="G601" i="1"/>
  <c r="I618" i="1"/>
  <c r="I612" i="1"/>
  <c r="E612" i="1"/>
  <c r="D595" i="1"/>
  <c r="G595" i="1"/>
  <c r="I604" i="1"/>
  <c r="E604" i="1"/>
  <c r="D587" i="1"/>
  <c r="G587" i="1"/>
  <c r="I603" i="1"/>
  <c r="E603" i="1"/>
  <c r="G586" i="1"/>
  <c r="D586" i="1"/>
  <c r="D596" i="1"/>
  <c r="E613" i="1"/>
  <c r="I613" i="1"/>
  <c r="G596" i="1"/>
  <c r="D597" i="1"/>
  <c r="I614" i="1"/>
  <c r="G597" i="1"/>
  <c r="E614" i="1"/>
  <c r="E610" i="1"/>
  <c r="D593" i="1"/>
  <c r="I610" i="1"/>
  <c r="G593" i="1"/>
  <c r="D592" i="1"/>
  <c r="E609" i="1"/>
  <c r="I609" i="1"/>
  <c r="G592" i="1"/>
  <c r="I605" i="1"/>
  <c r="D588" i="1"/>
  <c r="G588" i="1"/>
  <c r="E605" i="1"/>
  <c r="E600" i="1"/>
  <c r="G583" i="1"/>
  <c r="I600" i="1"/>
  <c r="D583" i="1"/>
  <c r="G589" i="1"/>
  <c r="I606" i="1"/>
  <c r="D589" i="1"/>
  <c r="E606" i="1"/>
  <c r="D590" i="1"/>
  <c r="I607" i="1"/>
  <c r="E607" i="1"/>
  <c r="G590" i="1"/>
  <c r="I611" i="1"/>
  <c r="D594" i="1"/>
  <c r="G594" i="1"/>
  <c r="E611" i="1"/>
  <c r="E635" i="1" l="1"/>
  <c r="I635" i="1"/>
  <c r="D618" i="1"/>
  <c r="G618" i="1"/>
  <c r="E630" i="1"/>
  <c r="I630" i="1"/>
  <c r="G613" i="1"/>
  <c r="D613" i="1"/>
  <c r="D605" i="1"/>
  <c r="G605" i="1"/>
  <c r="E622" i="1"/>
  <c r="I622" i="1"/>
  <c r="D603" i="1"/>
  <c r="E620" i="1"/>
  <c r="G603" i="1"/>
  <c r="I620" i="1"/>
  <c r="D607" i="1"/>
  <c r="E624" i="1"/>
  <c r="I624" i="1"/>
  <c r="G607" i="1"/>
  <c r="I628" i="1"/>
  <c r="G611" i="1"/>
  <c r="D611" i="1"/>
  <c r="E628" i="1"/>
  <c r="G606" i="1"/>
  <c r="I623" i="1"/>
  <c r="D606" i="1"/>
  <c r="E623" i="1"/>
  <c r="D609" i="1"/>
  <c r="E626" i="1"/>
  <c r="G609" i="1"/>
  <c r="I626" i="1"/>
  <c r="D604" i="1"/>
  <c r="E621" i="1"/>
  <c r="I621" i="1"/>
  <c r="G604" i="1"/>
  <c r="G610" i="1"/>
  <c r="D610" i="1"/>
  <c r="E627" i="1"/>
  <c r="I627" i="1"/>
  <c r="G614" i="1"/>
  <c r="E631" i="1"/>
  <c r="I631" i="1"/>
  <c r="D614" i="1"/>
  <c r="E629" i="1"/>
  <c r="D612" i="1"/>
  <c r="G612" i="1"/>
  <c r="I629" i="1"/>
  <c r="E617" i="1"/>
  <c r="I617" i="1"/>
  <c r="G600" i="1"/>
  <c r="D600" i="1"/>
  <c r="I652" i="1" l="1"/>
  <c r="E652" i="1"/>
  <c r="D635" i="1"/>
  <c r="G635" i="1"/>
  <c r="G624" i="1"/>
  <c r="D624" i="1"/>
  <c r="E641" i="1"/>
  <c r="I641" i="1"/>
  <c r="D617" i="1"/>
  <c r="G617" i="1"/>
  <c r="I634" i="1"/>
  <c r="E634" i="1"/>
  <c r="G620" i="1"/>
  <c r="I637" i="1"/>
  <c r="E637" i="1"/>
  <c r="D620" i="1"/>
  <c r="G629" i="1"/>
  <c r="E646" i="1"/>
  <c r="I646" i="1"/>
  <c r="D629" i="1"/>
  <c r="I643" i="1"/>
  <c r="E643" i="1"/>
  <c r="D626" i="1"/>
  <c r="G626" i="1"/>
  <c r="E639" i="1"/>
  <c r="D622" i="1"/>
  <c r="G622" i="1"/>
  <c r="I639" i="1"/>
  <c r="G621" i="1"/>
  <c r="E638" i="1"/>
  <c r="D621" i="1"/>
  <c r="I638" i="1"/>
  <c r="G631" i="1"/>
  <c r="I648" i="1"/>
  <c r="D631" i="1"/>
  <c r="E648" i="1"/>
  <c r="D628" i="1"/>
  <c r="G628" i="1"/>
  <c r="I645" i="1"/>
  <c r="E645" i="1"/>
  <c r="E644" i="1"/>
  <c r="I644" i="1"/>
  <c r="D627" i="1"/>
  <c r="G627" i="1"/>
  <c r="G623" i="1"/>
  <c r="D623" i="1"/>
  <c r="I640" i="1"/>
  <c r="E640" i="1"/>
  <c r="G630" i="1"/>
  <c r="E647" i="1"/>
  <c r="I647" i="1"/>
  <c r="D630" i="1"/>
  <c r="D652" i="1" l="1"/>
  <c r="G652" i="1"/>
  <c r="I663" i="1"/>
  <c r="D646" i="1"/>
  <c r="E663" i="1"/>
  <c r="G646" i="1"/>
  <c r="E654" i="1"/>
  <c r="G637" i="1"/>
  <c r="D637" i="1"/>
  <c r="I654" i="1"/>
  <c r="I664" i="1"/>
  <c r="E664" i="1"/>
  <c r="G647" i="1"/>
  <c r="D647" i="1"/>
  <c r="D638" i="1"/>
  <c r="G638" i="1"/>
  <c r="E655" i="1"/>
  <c r="I655" i="1"/>
  <c r="I657" i="1"/>
  <c r="G640" i="1"/>
  <c r="E657" i="1"/>
  <c r="D640" i="1"/>
  <c r="I651" i="1"/>
  <c r="D634" i="1"/>
  <c r="E651" i="1"/>
  <c r="G634" i="1"/>
  <c r="D639" i="1"/>
  <c r="E656" i="1"/>
  <c r="G639" i="1"/>
  <c r="I656" i="1"/>
  <c r="G645" i="1"/>
  <c r="E662" i="1"/>
  <c r="D645" i="1"/>
  <c r="I662" i="1"/>
  <c r="G648" i="1"/>
  <c r="I665" i="1"/>
  <c r="D648" i="1"/>
  <c r="E665" i="1"/>
  <c r="G641" i="1"/>
  <c r="D641" i="1"/>
  <c r="I658" i="1"/>
  <c r="E658" i="1"/>
  <c r="I660" i="1"/>
  <c r="E660" i="1"/>
  <c r="D643" i="1"/>
  <c r="G643" i="1"/>
  <c r="E661" i="1"/>
  <c r="I661" i="1"/>
  <c r="D644" i="1"/>
  <c r="G644" i="1"/>
  <c r="G655" i="1" l="1"/>
  <c r="D655" i="1"/>
  <c r="G662" i="1"/>
  <c r="D662" i="1"/>
  <c r="D661" i="1"/>
  <c r="G661" i="1"/>
  <c r="G664" i="1"/>
  <c r="D664" i="1"/>
  <c r="D660" i="1"/>
  <c r="G660" i="1"/>
  <c r="G656" i="1"/>
  <c r="D656" i="1"/>
  <c r="G651" i="1"/>
  <c r="D651" i="1"/>
  <c r="G654" i="1"/>
  <c r="D654" i="1"/>
  <c r="G658" i="1"/>
  <c r="D658" i="1"/>
  <c r="D665" i="1"/>
  <c r="G665" i="1"/>
  <c r="D657" i="1"/>
  <c r="G657" i="1"/>
  <c r="G663" i="1"/>
  <c r="D663" i="1"/>
  <c r="D402" i="2" l="1"/>
  <c r="D429" i="2"/>
  <c r="D405" i="2"/>
  <c r="D406" i="2"/>
  <c r="D418" i="2"/>
  <c r="D407" i="2"/>
  <c r="D432" i="2"/>
  <c r="D412" i="2"/>
  <c r="D430" i="2"/>
  <c r="D426" i="2"/>
  <c r="D416" i="2"/>
  <c r="D424" i="2"/>
  <c r="D420" i="2"/>
  <c r="D428" i="2"/>
  <c r="D422" i="2"/>
  <c r="D423" i="2"/>
  <c r="D403" i="2"/>
  <c r="D427" i="2"/>
  <c r="D408" i="2"/>
  <c r="D415" i="2"/>
  <c r="D431" i="2"/>
  <c r="D409" i="2"/>
  <c r="D404" i="2"/>
  <c r="D417" i="2"/>
  <c r="D410" i="2"/>
  <c r="D425" i="2"/>
  <c r="D433" i="2"/>
  <c r="D414" i="2"/>
  <c r="D413" i="2"/>
  <c r="D421" i="2"/>
  <c r="D419" i="2"/>
  <c r="D411" i="2"/>
  <c r="B96" i="2" l="1"/>
  <c r="B407" i="2"/>
  <c r="B410" i="2"/>
  <c r="B166" i="2"/>
  <c r="B116" i="2"/>
  <c r="B148" i="2"/>
  <c r="B193" i="2"/>
  <c r="B271" i="2"/>
  <c r="B238" i="2"/>
  <c r="B226" i="2"/>
  <c r="B154" i="2"/>
  <c r="B412" i="2"/>
  <c r="B105" i="2"/>
  <c r="B234" i="2"/>
  <c r="B324" i="2"/>
  <c r="B214" i="2"/>
  <c r="B128" i="2"/>
  <c r="B204" i="2"/>
  <c r="B155" i="2"/>
  <c r="B239" i="2"/>
  <c r="B433" i="2"/>
  <c r="B188" i="2"/>
  <c r="B211" i="2"/>
  <c r="B347" i="2"/>
  <c r="B61" i="2"/>
  <c r="B427" i="2"/>
  <c r="B80" i="2"/>
  <c r="B422" i="2"/>
  <c r="B424" i="2"/>
  <c r="B419" i="2"/>
  <c r="B404" i="2" l="1"/>
  <c r="B153" i="2"/>
  <c r="B212" i="2"/>
  <c r="B405" i="2"/>
  <c r="B93" i="2"/>
  <c r="B250" i="2"/>
  <c r="B284" i="2"/>
  <c r="B144" i="2"/>
  <c r="B84" i="2"/>
  <c r="B160" i="2"/>
  <c r="B253" i="2"/>
  <c r="B430" i="2"/>
  <c r="B129" i="2"/>
  <c r="B224" i="2"/>
  <c r="B145" i="2"/>
  <c r="B292" i="2"/>
  <c r="B217" i="2"/>
  <c r="B151" i="2"/>
  <c r="B159" i="2"/>
  <c r="B51" i="2"/>
  <c r="B50" i="2"/>
  <c r="B100" i="2"/>
  <c r="B325" i="2"/>
  <c r="B102" i="2"/>
  <c r="B118" i="2"/>
  <c r="B343" i="2"/>
  <c r="B103" i="2"/>
  <c r="B59" i="2"/>
  <c r="B178" i="2"/>
  <c r="B48" i="2"/>
  <c r="B185" i="2"/>
  <c r="B201" i="2"/>
  <c r="B156" i="2"/>
  <c r="B136" i="2"/>
  <c r="B340" i="2"/>
  <c r="B392" i="2"/>
  <c r="B374" i="2"/>
  <c r="B383" i="2"/>
  <c r="B326" i="2"/>
  <c r="B352" i="2"/>
  <c r="B140" i="2"/>
  <c r="B296" i="2"/>
  <c r="B240" i="2"/>
  <c r="B380" i="2"/>
  <c r="B227" i="2"/>
  <c r="B251" i="2"/>
  <c r="B436" i="2"/>
  <c r="B230" i="2"/>
  <c r="B225" i="2"/>
  <c r="B189" i="2"/>
  <c r="B221" i="2"/>
  <c r="B438" i="2"/>
  <c r="B268" i="2"/>
  <c r="B126" i="2"/>
  <c r="B220" i="2"/>
  <c r="B395" i="2"/>
  <c r="B231" i="2"/>
  <c r="B202" i="2"/>
  <c r="B441" i="2"/>
  <c r="B175" i="2"/>
  <c r="B386" i="2"/>
  <c r="B237" i="2"/>
  <c r="B299" i="2"/>
  <c r="B125" i="2"/>
  <c r="B114" i="2"/>
  <c r="B74" i="2"/>
  <c r="B262" i="2"/>
  <c r="B157" i="2"/>
  <c r="B87" i="2"/>
  <c r="B390" i="2"/>
  <c r="B107" i="2"/>
  <c r="B64" i="2"/>
  <c r="B258" i="2"/>
  <c r="B385" i="2"/>
  <c r="B393" i="2"/>
  <c r="B287" i="2"/>
  <c r="B101" i="2"/>
  <c r="B337" i="2"/>
  <c r="B106" i="2"/>
  <c r="B244" i="2"/>
  <c r="B121" i="2"/>
  <c r="B167" i="2"/>
  <c r="B371" i="2"/>
  <c r="B399" i="2"/>
  <c r="B387" i="2"/>
  <c r="B446" i="2"/>
  <c r="B186" i="2"/>
  <c r="B339" i="2"/>
  <c r="B286" i="2"/>
  <c r="B143" i="2"/>
  <c r="B442" i="2"/>
  <c r="B120" i="2"/>
  <c r="B381" i="2"/>
  <c r="B396" i="2"/>
  <c r="B434" i="2"/>
  <c r="B359" i="2"/>
  <c r="B389" i="2"/>
  <c r="B71" i="2"/>
  <c r="B444" i="2"/>
  <c r="B265" i="2"/>
  <c r="B150" i="2"/>
  <c r="B95" i="2"/>
  <c r="B435" i="2"/>
  <c r="B228" i="2"/>
  <c r="B216" i="2"/>
  <c r="B191" i="2"/>
  <c r="B232" i="2"/>
  <c r="B306" i="2"/>
  <c r="B98" i="2"/>
  <c r="B177" i="2"/>
  <c r="C424" i="2" l="1"/>
  <c r="C80" i="2"/>
  <c r="C166" i="2"/>
  <c r="C61" i="2"/>
  <c r="C118" i="2"/>
  <c r="C159" i="2"/>
  <c r="C100" i="2"/>
  <c r="C156" i="2"/>
  <c r="B300" i="2"/>
  <c r="B119" i="2"/>
  <c r="B67" i="2"/>
  <c r="B278" i="2"/>
  <c r="B135" i="2"/>
  <c r="B367" i="2"/>
  <c r="B311" i="2"/>
  <c r="B176" i="2"/>
  <c r="B354" i="2"/>
  <c r="B361" i="2"/>
  <c r="B200" i="2"/>
  <c r="B360" i="2"/>
  <c r="B283" i="2"/>
  <c r="B328" i="2"/>
  <c r="B322" i="2"/>
  <c r="B245" i="2"/>
  <c r="B149" i="2"/>
  <c r="B264" i="2"/>
  <c r="B248" i="2"/>
  <c r="B127" i="2"/>
  <c r="B336" i="2"/>
  <c r="B99" i="2"/>
  <c r="B342" i="2"/>
  <c r="B62" i="2"/>
  <c r="B18" i="2"/>
  <c r="B346" i="2"/>
  <c r="B108" i="2"/>
  <c r="B123" i="2"/>
  <c r="B277" i="2"/>
  <c r="B88" i="2"/>
  <c r="B249" i="2"/>
  <c r="B235" i="2"/>
  <c r="B183" i="2"/>
  <c r="B261" i="2"/>
  <c r="B289" i="2"/>
  <c r="B206" i="2"/>
  <c r="B285" i="2"/>
  <c r="B294" i="2"/>
  <c r="B236" i="2"/>
  <c r="B256" i="2"/>
  <c r="B162" i="2"/>
  <c r="B209" i="2"/>
  <c r="B147" i="2"/>
  <c r="B168" i="2"/>
  <c r="B113" i="2"/>
  <c r="B141" i="2"/>
  <c r="C422" i="2"/>
  <c r="C193" i="2"/>
  <c r="C239" i="2"/>
  <c r="C153" i="2"/>
  <c r="C430" i="2" l="1"/>
  <c r="C129" i="2"/>
  <c r="C238" i="2"/>
  <c r="C325" i="2"/>
  <c r="C145" i="2"/>
  <c r="C51" i="2"/>
  <c r="C340" i="2"/>
  <c r="C102" i="2"/>
  <c r="C50" i="2"/>
  <c r="C240" i="2"/>
  <c r="C438" i="2"/>
  <c r="C228" i="2"/>
  <c r="C162" i="2"/>
  <c r="C67" i="2"/>
  <c r="C189" i="2"/>
  <c r="C296" i="2"/>
  <c r="C278" i="2"/>
  <c r="C300" i="2"/>
  <c r="C306" i="2"/>
  <c r="C343" i="2"/>
  <c r="C201" i="2"/>
  <c r="C337" i="2"/>
  <c r="C151" i="2"/>
  <c r="C185" i="2"/>
  <c r="C136" i="2"/>
  <c r="C359" i="2"/>
  <c r="C268" i="2"/>
  <c r="C383" i="2"/>
  <c r="C441" i="2"/>
  <c r="C106" i="2"/>
  <c r="C175" i="2"/>
  <c r="C155" i="2"/>
  <c r="C404" i="2"/>
  <c r="C347" i="2"/>
  <c r="C93" i="2"/>
  <c r="C96" i="2"/>
  <c r="C253" i="2"/>
  <c r="C250" i="2"/>
  <c r="C419" i="2"/>
  <c r="C221" i="2"/>
  <c r="C234" i="2"/>
  <c r="C324" i="2"/>
  <c r="C326" i="2"/>
  <c r="C427" i="2"/>
  <c r="C154" i="2"/>
  <c r="C232" i="2"/>
  <c r="C410" i="2"/>
  <c r="C211" i="2"/>
  <c r="C204" i="2"/>
  <c r="C121" i="2"/>
  <c r="C186" i="2"/>
  <c r="C148" i="2"/>
  <c r="C157" i="2"/>
  <c r="C116" i="2"/>
  <c r="C226" i="2"/>
  <c r="C292" i="2"/>
  <c r="C405" i="2"/>
  <c r="C212" i="2"/>
  <c r="C244" i="2"/>
  <c r="C105" i="2"/>
  <c r="C284" i="2"/>
  <c r="C74" i="2"/>
  <c r="C188" i="2"/>
  <c r="C265" i="2"/>
  <c r="C412" i="2"/>
  <c r="C214" i="2"/>
  <c r="C224" i="2"/>
  <c r="C167" i="2"/>
  <c r="C433" i="2"/>
  <c r="C126" i="2"/>
  <c r="C436" i="2"/>
  <c r="C217" i="2"/>
  <c r="C95" i="2"/>
  <c r="C160" i="2"/>
  <c r="C84" i="2"/>
  <c r="C271" i="2"/>
  <c r="C144" i="2"/>
  <c r="C407" i="2"/>
  <c r="C128" i="2"/>
  <c r="C374" i="2" l="1"/>
  <c r="C380" i="2"/>
  <c r="C141" i="2"/>
  <c r="C123" i="2"/>
  <c r="C119" i="2"/>
  <c r="C235" i="2"/>
  <c r="C346" i="2"/>
  <c r="C249" i="2"/>
  <c r="C59" i="2"/>
  <c r="C48" i="2"/>
  <c r="C135" i="2"/>
  <c r="C342" i="2"/>
  <c r="C108" i="2"/>
  <c r="C367" i="2"/>
  <c r="C178" i="2"/>
  <c r="C103" i="2"/>
  <c r="C149" i="2"/>
  <c r="C294" i="2"/>
  <c r="C258" i="2"/>
  <c r="C390" i="2"/>
  <c r="C393" i="2"/>
  <c r="C299" i="2"/>
  <c r="C442" i="2"/>
  <c r="C287" i="2"/>
  <c r="C435" i="2"/>
  <c r="C371" i="2"/>
  <c r="C352" i="2"/>
  <c r="C107" i="2"/>
  <c r="C227" i="2"/>
  <c r="C387" i="2"/>
  <c r="C381" i="2"/>
  <c r="C202" i="2"/>
  <c r="C114" i="2"/>
  <c r="C120" i="2"/>
  <c r="C140" i="2"/>
  <c r="C446" i="2"/>
  <c r="C434" i="2"/>
  <c r="C389" i="2"/>
  <c r="C385" i="2"/>
  <c r="C339" i="2"/>
  <c r="C392" i="2"/>
  <c r="C231" i="2"/>
  <c r="C386" i="2"/>
  <c r="C98" i="2"/>
  <c r="C177" i="2"/>
  <c r="C101" i="2"/>
  <c r="C230" i="2"/>
  <c r="C125" i="2"/>
  <c r="C444" i="2"/>
  <c r="C262" i="2"/>
  <c r="C143" i="2"/>
  <c r="C191" i="2"/>
  <c r="C64" i="2"/>
  <c r="C87" i="2"/>
  <c r="C395" i="2"/>
  <c r="C286" i="2"/>
  <c r="C399" i="2"/>
  <c r="C216" i="2"/>
  <c r="C71" i="2"/>
  <c r="C237" i="2"/>
  <c r="C225" i="2"/>
  <c r="C251" i="2"/>
  <c r="C150" i="2"/>
  <c r="C396" i="2"/>
  <c r="C220" i="2"/>
  <c r="C264" i="2" l="1"/>
  <c r="C62" i="2"/>
  <c r="C176" i="2"/>
  <c r="C127" i="2"/>
  <c r="C361" i="2"/>
  <c r="C311" i="2"/>
  <c r="C336" i="2"/>
  <c r="C328" i="2"/>
  <c r="C200" i="2"/>
  <c r="C18" i="2"/>
  <c r="C354" i="2"/>
  <c r="C360" i="2"/>
  <c r="C283" i="2"/>
  <c r="C277" i="2"/>
  <c r="C99" i="2"/>
  <c r="C248" i="2"/>
  <c r="C322" i="2"/>
  <c r="C245" i="2"/>
  <c r="C88" i="2"/>
  <c r="C236" i="2"/>
  <c r="C206" i="2"/>
  <c r="C261" i="2"/>
  <c r="C209" i="2"/>
  <c r="C289" i="2"/>
  <c r="C256" i="2"/>
  <c r="C183" i="2"/>
  <c r="C113" i="2"/>
  <c r="C285" i="2"/>
  <c r="C168" i="2"/>
  <c r="C147" i="2"/>
  <c r="D36" i="2" l="1"/>
  <c r="B79" i="2" l="1"/>
  <c r="B34" i="2"/>
  <c r="B30" i="2"/>
  <c r="B73" i="2"/>
  <c r="B789" i="2"/>
  <c r="B784" i="2"/>
  <c r="B795" i="2"/>
  <c r="B752" i="2"/>
  <c r="B765" i="2"/>
  <c r="B796" i="2"/>
  <c r="B774" i="2"/>
  <c r="B764" i="2"/>
  <c r="B785" i="2"/>
  <c r="B787" i="2"/>
  <c r="B794" i="2"/>
  <c r="B766" i="2"/>
  <c r="B758" i="2"/>
  <c r="B757" i="2"/>
  <c r="B792" i="2"/>
  <c r="B797" i="2"/>
  <c r="B754" i="2"/>
  <c r="B775" i="2"/>
  <c r="B798" i="2"/>
  <c r="B762" i="2"/>
  <c r="B782" i="2"/>
  <c r="B788" i="2"/>
  <c r="B793" i="2"/>
  <c r="B779" i="2"/>
  <c r="B780" i="2"/>
  <c r="B776" i="2"/>
  <c r="B799" i="2"/>
  <c r="B783" i="2"/>
  <c r="B802" i="2"/>
  <c r="B756" i="2"/>
  <c r="B748" i="2"/>
  <c r="B753" i="2"/>
  <c r="B770" i="2"/>
  <c r="C79" i="2" l="1"/>
  <c r="B593" i="2"/>
  <c r="B561" i="2"/>
  <c r="B586" i="2"/>
  <c r="B557" i="2"/>
  <c r="B582" i="2"/>
  <c r="B580" i="2"/>
  <c r="B565" i="2"/>
  <c r="B587" i="2"/>
  <c r="B566" i="2"/>
  <c r="B560" i="2"/>
  <c r="B577" i="2"/>
  <c r="B591" i="2"/>
  <c r="B583" i="2"/>
  <c r="B554" i="2"/>
  <c r="B579" i="2"/>
  <c r="B574" i="2"/>
  <c r="B558" i="2"/>
  <c r="B559" i="2"/>
  <c r="B592" i="2"/>
  <c r="B589" i="2"/>
  <c r="B588" i="2"/>
  <c r="B572" i="2"/>
  <c r="B576" i="2"/>
  <c r="B594" i="2"/>
  <c r="B570" i="2"/>
  <c r="B585" i="2"/>
  <c r="B567" i="2"/>
  <c r="B578" i="2"/>
  <c r="B575" i="2"/>
  <c r="B555" i="2"/>
  <c r="B590" i="2"/>
  <c r="B569" i="2"/>
  <c r="B581" i="2"/>
  <c r="B573" i="2"/>
  <c r="B563" i="2"/>
  <c r="B571" i="2"/>
  <c r="B562" i="2"/>
  <c r="B584" i="2"/>
  <c r="B568" i="2"/>
  <c r="B564" i="2"/>
  <c r="B553" i="2"/>
  <c r="B556" i="2"/>
  <c r="C30" i="2"/>
  <c r="C770" i="2"/>
  <c r="C785" i="2"/>
  <c r="C795" i="2"/>
  <c r="C776" i="2"/>
  <c r="C766" i="2"/>
  <c r="C797" i="2"/>
  <c r="C799" i="2"/>
  <c r="C765" i="2"/>
  <c r="C756" i="2"/>
  <c r="C774" i="2"/>
  <c r="C796" i="2"/>
  <c r="C789" i="2"/>
  <c r="C802" i="2"/>
  <c r="C793" i="2"/>
  <c r="C780" i="2"/>
  <c r="C787" i="2"/>
  <c r="C794" i="2"/>
  <c r="C798" i="2"/>
  <c r="C748" i="2"/>
  <c r="C784" i="2"/>
  <c r="C752" i="2"/>
  <c r="C757" i="2"/>
  <c r="C779" i="2"/>
  <c r="C758" i="2"/>
  <c r="C783" i="2"/>
  <c r="C788" i="2"/>
  <c r="C782" i="2"/>
  <c r="C753" i="2"/>
  <c r="C775" i="2"/>
  <c r="C792" i="2"/>
  <c r="C764" i="2"/>
  <c r="C762" i="2"/>
  <c r="C754" i="2"/>
  <c r="B552" i="2" l="1"/>
  <c r="B418" i="2"/>
  <c r="B208" i="2"/>
  <c r="B313" i="2"/>
  <c r="B406" i="2"/>
  <c r="B800" i="2"/>
  <c r="B247" i="2"/>
  <c r="B25" i="2"/>
  <c r="B318" i="2"/>
  <c r="B320" i="2"/>
  <c r="B293" i="2"/>
  <c r="B182" i="2"/>
  <c r="B13" i="2"/>
  <c r="B218" i="2"/>
  <c r="B282" i="2"/>
  <c r="C73" i="2"/>
  <c r="B329" i="2"/>
  <c r="B94" i="2"/>
  <c r="B257" i="2"/>
  <c r="B309" i="2"/>
  <c r="B288" i="2"/>
  <c r="B63" i="2"/>
  <c r="B164" i="2"/>
  <c r="B104" i="2"/>
  <c r="B86" i="2"/>
  <c r="B763" i="2"/>
  <c r="B295" i="2"/>
  <c r="B195" i="2"/>
  <c r="B338" i="2"/>
  <c r="B445" i="2"/>
  <c r="B335" i="2"/>
  <c r="B440" i="2"/>
  <c r="B305" i="2"/>
  <c r="B398" i="2"/>
  <c r="B5" i="2"/>
  <c r="B223" i="2"/>
  <c r="B276" i="2"/>
  <c r="B384" i="2"/>
  <c r="B394" i="2"/>
  <c r="B750" i="2"/>
  <c r="B181" i="2"/>
  <c r="B767" i="2"/>
  <c r="B222" i="2"/>
  <c r="B196" i="2"/>
  <c r="B355" i="2"/>
  <c r="B76" i="2"/>
  <c r="B161" i="2"/>
  <c r="B170" i="2"/>
  <c r="B115" i="2"/>
  <c r="B317" i="2"/>
  <c r="B751" i="2"/>
  <c r="B749" i="2"/>
  <c r="B122" i="2"/>
  <c r="B75" i="2"/>
  <c r="B89" i="2"/>
  <c r="B31" i="2"/>
  <c r="B192" i="2"/>
  <c r="B304" i="2"/>
  <c r="B298" i="2"/>
  <c r="B68" i="2"/>
  <c r="B368" i="2"/>
  <c r="B791" i="2"/>
  <c r="B334" i="2"/>
  <c r="B184" i="2"/>
  <c r="B205" i="2"/>
  <c r="B124" i="2"/>
  <c r="B246" i="2"/>
  <c r="B117" i="2"/>
  <c r="B275" i="2"/>
  <c r="B263" i="2"/>
  <c r="B357" i="2"/>
  <c r="B54" i="2"/>
  <c r="B382" i="2"/>
  <c r="B363" i="2"/>
  <c r="B281" i="2"/>
  <c r="B759" i="2"/>
  <c r="B425" i="2"/>
  <c r="B33" i="2"/>
  <c r="B369" i="2"/>
  <c r="B772" i="2"/>
  <c r="C584" i="2" l="1"/>
  <c r="C581" i="2"/>
  <c r="C586" i="2"/>
  <c r="C566" i="2"/>
  <c r="C553" i="2"/>
  <c r="C583" i="2"/>
  <c r="C561" i="2"/>
  <c r="C567" i="2"/>
  <c r="C592" i="2"/>
  <c r="B449" i="2"/>
  <c r="B450" i="2"/>
  <c r="B448" i="2"/>
  <c r="C582" i="2"/>
  <c r="C573" i="2"/>
  <c r="B302" i="2"/>
  <c r="C563" i="2"/>
  <c r="B252" i="2"/>
  <c r="C560" i="2"/>
  <c r="C34" i="2"/>
  <c r="B431" i="2"/>
  <c r="B254" i="2"/>
  <c r="B163" i="2"/>
  <c r="B429" i="2"/>
  <c r="B266" i="2"/>
  <c r="B203" i="2"/>
  <c r="B366" i="2"/>
  <c r="B453" i="2"/>
  <c r="B452" i="2"/>
  <c r="B421" i="2"/>
  <c r="B24" i="2"/>
  <c r="B273" i="2"/>
  <c r="B420" i="2"/>
  <c r="B411" i="2"/>
  <c r="B417" i="2"/>
  <c r="B341" i="2"/>
  <c r="B11" i="2"/>
  <c r="B432" i="2"/>
  <c r="B65" i="2"/>
  <c r="B332" i="2"/>
  <c r="B142" i="2"/>
  <c r="B456" i="2"/>
  <c r="B165" i="2"/>
  <c r="B773" i="2"/>
  <c r="B241" i="2"/>
  <c r="B801" i="2"/>
  <c r="B53" i="2"/>
  <c r="B139" i="2"/>
  <c r="B52" i="2"/>
  <c r="B415" i="2"/>
  <c r="B349" i="2"/>
  <c r="B447" i="2"/>
  <c r="B771" i="2"/>
  <c r="B215" i="2"/>
  <c r="B402" i="2"/>
  <c r="B777" i="2"/>
  <c r="B364" i="2"/>
  <c r="B307" i="2"/>
  <c r="B455" i="2"/>
  <c r="B454" i="2"/>
  <c r="B403" i="2"/>
  <c r="B362" i="2"/>
  <c r="B408" i="2"/>
  <c r="B409" i="2"/>
  <c r="B158" i="2"/>
  <c r="B413" i="2"/>
  <c r="B308" i="2"/>
  <c r="B44" i="2"/>
  <c r="B260" i="2"/>
  <c r="B109" i="2"/>
  <c r="B356" i="2"/>
  <c r="B138" i="2"/>
  <c r="B171" i="2"/>
  <c r="B72" i="2"/>
  <c r="B345" i="2"/>
  <c r="B133" i="2"/>
  <c r="B6" i="2"/>
  <c r="B9" i="2"/>
  <c r="B174" i="2"/>
  <c r="B22" i="2"/>
  <c r="B348" i="2"/>
  <c r="B17" i="2"/>
  <c r="B323" i="2"/>
  <c r="B58" i="2"/>
  <c r="B314" i="2"/>
  <c r="B46" i="2"/>
  <c r="B194" i="2"/>
  <c r="B85" i="2"/>
  <c r="B746" i="2"/>
  <c r="B439" i="2"/>
  <c r="B190" i="2"/>
  <c r="B90" i="2"/>
  <c r="B379" i="2"/>
  <c r="B66" i="2"/>
  <c r="B32" i="2"/>
  <c r="B303" i="2"/>
  <c r="B134" i="2"/>
  <c r="B39" i="2"/>
  <c r="B760" i="2"/>
  <c r="B365" i="2"/>
  <c r="B290" i="2"/>
  <c r="B213" i="2"/>
  <c r="B173" i="2"/>
  <c r="B92" i="2"/>
  <c r="B111" i="2"/>
  <c r="B401" i="2"/>
  <c r="B45" i="2"/>
  <c r="B315" i="2"/>
  <c r="B55" i="2"/>
  <c r="B12" i="2"/>
  <c r="B312" i="2"/>
  <c r="B781" i="2"/>
  <c r="B769" i="2"/>
  <c r="B344" i="2"/>
  <c r="B353" i="2"/>
  <c r="B377" i="2"/>
  <c r="B259" i="2"/>
  <c r="B310" i="2"/>
  <c r="B768" i="2"/>
  <c r="B60" i="2"/>
  <c r="B376" i="2"/>
  <c r="B57" i="2"/>
  <c r="B42" i="2"/>
  <c r="B373" i="2"/>
  <c r="B23" i="2"/>
  <c r="B267" i="2"/>
  <c r="B35" i="2"/>
  <c r="B372" i="2"/>
  <c r="B358" i="2"/>
  <c r="B56" i="2"/>
  <c r="B316" i="2"/>
  <c r="B761" i="2"/>
  <c r="B28" i="2"/>
  <c r="B375" i="2"/>
  <c r="B331" i="2"/>
  <c r="B219" i="2"/>
  <c r="B790" i="2"/>
  <c r="B319" i="2"/>
  <c r="B43" i="2"/>
  <c r="C772" i="2"/>
  <c r="C559" i="2"/>
  <c r="C580" i="2"/>
  <c r="C594" i="2"/>
  <c r="C556" i="2"/>
  <c r="C590" i="2"/>
  <c r="C565" i="2"/>
  <c r="C578" i="2"/>
  <c r="C557" i="2"/>
  <c r="C575" i="2"/>
  <c r="C585" i="2"/>
  <c r="B81" i="2"/>
  <c r="C564" i="2"/>
  <c r="B78" i="2"/>
  <c r="B49" i="2"/>
  <c r="B351" i="2"/>
  <c r="B270" i="2"/>
  <c r="B187" i="2"/>
  <c r="B180" i="2"/>
  <c r="C555" i="2"/>
  <c r="C572" i="2"/>
  <c r="B279" i="2"/>
  <c r="B7" i="2"/>
  <c r="C579" i="2"/>
  <c r="B350" i="2"/>
  <c r="B26" i="2"/>
  <c r="B97" i="2"/>
  <c r="C562" i="2"/>
  <c r="B755" i="2"/>
  <c r="B778" i="2"/>
  <c r="C554" i="2"/>
  <c r="C576" i="2"/>
  <c r="B40" i="2"/>
  <c r="B8" i="2"/>
  <c r="B786" i="2"/>
  <c r="B132" i="2"/>
  <c r="C588" i="2"/>
  <c r="B41" i="2"/>
  <c r="B280" i="2"/>
  <c r="C577" i="2"/>
  <c r="B69" i="2"/>
  <c r="C568" i="2"/>
  <c r="B82" i="2"/>
  <c r="B10" i="2"/>
  <c r="C589" i="2"/>
  <c r="B70" i="2"/>
  <c r="B721" i="2"/>
  <c r="B653" i="2"/>
  <c r="B635" i="2"/>
  <c r="B661" i="2"/>
  <c r="B732" i="2"/>
  <c r="B745" i="2"/>
  <c r="B517" i="2"/>
  <c r="B686" i="2"/>
  <c r="B496" i="2"/>
  <c r="B616" i="2"/>
  <c r="B599" i="2"/>
  <c r="B505" i="2"/>
  <c r="B473" i="2"/>
  <c r="B691" i="2"/>
  <c r="B529" i="2"/>
  <c r="B679" i="2"/>
  <c r="B487" i="2"/>
  <c r="B598" i="2"/>
  <c r="B462" i="2"/>
  <c r="B618" i="2"/>
  <c r="B617" i="2"/>
  <c r="B523" i="2"/>
  <c r="B485" i="2"/>
  <c r="B459" i="2"/>
  <c r="B654" i="2"/>
  <c r="B461" i="2"/>
  <c r="B77" i="2"/>
  <c r="B705" i="2"/>
  <c r="B535" i="2"/>
  <c r="B548" i="2"/>
  <c r="B715" i="2"/>
  <c r="B692" i="2"/>
  <c r="B638" i="2"/>
  <c r="B621" i="2"/>
  <c r="B733" i="2"/>
  <c r="B713" i="2"/>
  <c r="B672" i="2"/>
  <c r="B603" i="2"/>
  <c r="B650" i="2"/>
  <c r="B722" i="2"/>
  <c r="B537" i="2"/>
  <c r="B693" i="2"/>
  <c r="B480" i="2"/>
  <c r="B730" i="2"/>
  <c r="B720" i="2"/>
  <c r="B706" i="2"/>
  <c r="B636" i="2"/>
  <c r="B657" i="2"/>
  <c r="B488" i="2"/>
  <c r="B731" i="2"/>
  <c r="B478" i="2"/>
  <c r="B470" i="2"/>
  <c r="B600" i="2"/>
  <c r="B630" i="2"/>
  <c r="B464" i="2"/>
  <c r="B613" i="2"/>
  <c r="B520" i="2"/>
  <c r="B699" i="2"/>
  <c r="B486" i="2"/>
  <c r="B533" i="2"/>
  <c r="B525" i="2"/>
  <c r="B649" i="2"/>
  <c r="B628" i="2"/>
  <c r="B536" i="2"/>
  <c r="B728" i="2"/>
  <c r="B624" i="2"/>
  <c r="B701" i="2"/>
  <c r="B518" i="2"/>
  <c r="B460" i="2"/>
  <c r="B596" i="2"/>
  <c r="B551" i="2"/>
  <c r="B595" i="2"/>
  <c r="B647" i="2"/>
  <c r="B652" i="2"/>
  <c r="B498" i="2"/>
  <c r="B669" i="2"/>
  <c r="B519" i="2"/>
  <c r="B740" i="2"/>
  <c r="B482" i="2"/>
  <c r="B724" i="2"/>
  <c r="B538" i="2"/>
  <c r="B524" i="2"/>
  <c r="B531" i="2"/>
  <c r="B601" i="2"/>
  <c r="B547" i="2"/>
  <c r="B522" i="2"/>
  <c r="B511" i="2"/>
  <c r="B477" i="2"/>
  <c r="B727" i="2"/>
  <c r="B503" i="2"/>
  <c r="B689" i="2"/>
  <c r="B707" i="2"/>
  <c r="B534" i="2"/>
  <c r="B670" i="2"/>
  <c r="B697" i="2"/>
  <c r="B678" i="2"/>
  <c r="B626" i="2"/>
  <c r="B545" i="2"/>
  <c r="B667" i="2"/>
  <c r="B655" i="2"/>
  <c r="B169" i="2"/>
  <c r="B631" i="2"/>
  <c r="B602" i="2"/>
  <c r="B38" i="2"/>
  <c r="B539" i="2"/>
  <c r="B723" i="2"/>
  <c r="B499" i="2"/>
  <c r="B463" i="2"/>
  <c r="B668" i="2"/>
  <c r="B675" i="2"/>
  <c r="B625" i="2"/>
  <c r="B642" i="2"/>
  <c r="B489" i="2"/>
  <c r="B597" i="2"/>
  <c r="B696" i="2"/>
  <c r="B744" i="2"/>
  <c r="B492" i="2"/>
  <c r="B475" i="2"/>
  <c r="B736" i="2"/>
  <c r="B467" i="2"/>
  <c r="B666" i="2"/>
  <c r="B512" i="2"/>
  <c r="B734" i="2"/>
  <c r="B662" i="2"/>
  <c r="B604" i="2"/>
  <c r="B526" i="2"/>
  <c r="B712" i="2"/>
  <c r="B676" i="2"/>
  <c r="B484" i="2"/>
  <c r="B664" i="2"/>
  <c r="B716" i="2"/>
  <c r="B645" i="2"/>
  <c r="B719" i="2"/>
  <c r="B504" i="2"/>
  <c r="B615" i="2"/>
  <c r="B735" i="2"/>
  <c r="B738" i="2"/>
  <c r="B541" i="2"/>
  <c r="B651" i="2"/>
  <c r="B620" i="2"/>
  <c r="B497" i="2"/>
  <c r="B614" i="2"/>
  <c r="B479" i="2"/>
  <c r="B704" i="2"/>
  <c r="B543" i="2"/>
  <c r="B684" i="2"/>
  <c r="B665" i="2"/>
  <c r="B708" i="2"/>
  <c r="B685" i="2"/>
  <c r="B739" i="2"/>
  <c r="B646" i="2"/>
  <c r="B682" i="2"/>
  <c r="B469" i="2"/>
  <c r="B698" i="2"/>
  <c r="B702" i="2"/>
  <c r="B509" i="2"/>
  <c r="B546" i="2"/>
  <c r="B515" i="2"/>
  <c r="B671" i="2"/>
  <c r="B673" i="2"/>
  <c r="B644" i="2"/>
  <c r="B474" i="2"/>
  <c r="B656" i="2"/>
  <c r="B472" i="2"/>
  <c r="B627" i="2"/>
  <c r="B726" i="2"/>
  <c r="B609" i="2"/>
  <c r="B611" i="2"/>
  <c r="B687" i="2"/>
  <c r="B641" i="2"/>
  <c r="B710" i="2"/>
  <c r="B711" i="2"/>
  <c r="B481" i="2"/>
  <c r="B501" i="2"/>
  <c r="B607" i="2"/>
  <c r="B468" i="2"/>
  <c r="B690" i="2"/>
  <c r="B680" i="2"/>
  <c r="B717" i="2"/>
  <c r="B608" i="2"/>
  <c r="B550" i="2"/>
  <c r="B619" i="2"/>
  <c r="B528" i="2"/>
  <c r="B674" i="2"/>
  <c r="B544" i="2"/>
  <c r="B610" i="2"/>
  <c r="B457" i="2"/>
  <c r="B502" i="2"/>
  <c r="B741" i="2"/>
  <c r="B729" i="2"/>
  <c r="B700" i="2"/>
  <c r="B516" i="2"/>
  <c r="B494" i="2"/>
  <c r="B530" i="2"/>
  <c r="B681" i="2"/>
  <c r="B677" i="2"/>
  <c r="B476" i="2"/>
  <c r="B83" i="2"/>
  <c r="B493" i="2"/>
  <c r="B742" i="2"/>
  <c r="B737" i="2"/>
  <c r="B640" i="2"/>
  <c r="B465" i="2"/>
  <c r="B542" i="2"/>
  <c r="B743" i="2"/>
  <c r="B694" i="2"/>
  <c r="B659" i="2"/>
  <c r="B695" i="2"/>
  <c r="B506" i="2"/>
  <c r="B633" i="2"/>
  <c r="B605" i="2"/>
  <c r="B507" i="2"/>
  <c r="B37" i="2"/>
  <c r="B683" i="2"/>
  <c r="B508" i="2"/>
  <c r="B612" i="2"/>
  <c r="B639" i="2"/>
  <c r="B703" i="2"/>
  <c r="B514" i="2"/>
  <c r="B540" i="2"/>
  <c r="B714" i="2"/>
  <c r="B513" i="2"/>
  <c r="B660" i="2"/>
  <c r="B471" i="2"/>
  <c r="B549" i="2"/>
  <c r="B532" i="2"/>
  <c r="B622" i="2"/>
  <c r="B688" i="2"/>
  <c r="B718" i="2"/>
  <c r="B490" i="2"/>
  <c r="B495" i="2"/>
  <c r="B634" i="2"/>
  <c r="B606" i="2"/>
  <c r="B658" i="2"/>
  <c r="B500" i="2"/>
  <c r="B629" i="2"/>
  <c r="B648" i="2"/>
  <c r="B483" i="2"/>
  <c r="B510" i="2"/>
  <c r="B527" i="2"/>
  <c r="B709" i="2"/>
  <c r="B663" i="2"/>
  <c r="B623" i="2"/>
  <c r="B491" i="2"/>
  <c r="B637" i="2"/>
  <c r="B632" i="2"/>
  <c r="B466" i="2"/>
  <c r="B643" i="2"/>
  <c r="B725" i="2"/>
  <c r="B521" i="2"/>
  <c r="B458" i="2"/>
  <c r="B29" i="2" l="1"/>
  <c r="B423" i="2"/>
  <c r="B36" i="2"/>
  <c r="B378" i="2"/>
  <c r="B152" i="2"/>
  <c r="B242" i="2"/>
  <c r="B21" i="2"/>
  <c r="B197" i="2"/>
  <c r="B333" i="2"/>
  <c r="B370" i="2"/>
  <c r="B330" i="2"/>
  <c r="B112" i="2"/>
  <c r="B229" i="2"/>
  <c r="B233" i="2"/>
  <c r="B451" i="2"/>
  <c r="B110" i="2"/>
  <c r="B391" i="2"/>
  <c r="B243" i="2"/>
  <c r="B198" i="2"/>
  <c r="B269" i="2"/>
  <c r="B321" i="2"/>
  <c r="B274" i="2"/>
  <c r="B443" i="2"/>
  <c r="B172" i="2"/>
  <c r="B426" i="2"/>
  <c r="B414" i="2"/>
  <c r="B199" i="2"/>
  <c r="B130" i="2"/>
  <c r="B91" i="2"/>
  <c r="B272" i="2"/>
  <c r="B15" i="2"/>
  <c r="B400" i="2"/>
  <c r="B437" i="2"/>
  <c r="B137" i="2"/>
  <c r="C558" i="2"/>
  <c r="B291" i="2"/>
  <c r="B179" i="2"/>
  <c r="B146" i="2"/>
  <c r="B301" i="2"/>
  <c r="B255" i="2"/>
  <c r="B207" i="2"/>
  <c r="B131" i="2"/>
  <c r="B210" i="2"/>
  <c r="B297" i="2"/>
  <c r="B2" i="2"/>
  <c r="B428" i="2"/>
  <c r="B327" i="2"/>
  <c r="B388" i="2"/>
  <c r="B397" i="2"/>
  <c r="B416" i="2"/>
  <c r="C591" i="2"/>
  <c r="C587" i="2"/>
  <c r="C571" i="2"/>
  <c r="C574" i="2"/>
  <c r="C570" i="2"/>
  <c r="C593" i="2"/>
  <c r="C569" i="2"/>
  <c r="C431" i="2"/>
  <c r="C203" i="2"/>
  <c r="C24" i="2"/>
  <c r="C801" i="2"/>
  <c r="C158" i="2"/>
  <c r="C241" i="2"/>
  <c r="C9" i="2"/>
  <c r="C318" i="2"/>
  <c r="C314" i="2"/>
  <c r="C769" i="2"/>
  <c r="C415" i="2"/>
  <c r="C53" i="2"/>
  <c r="C403" i="2"/>
  <c r="C288" i="2"/>
  <c r="C409" i="2"/>
  <c r="C313" i="2"/>
  <c r="C423" i="2"/>
  <c r="C274" i="2"/>
  <c r="C771" i="2"/>
  <c r="C104" i="2"/>
  <c r="C777" i="2"/>
  <c r="C413" i="2"/>
  <c r="C791" i="2"/>
  <c r="C86" i="2"/>
  <c r="C6" i="2"/>
  <c r="C353" i="2"/>
  <c r="C376" i="2"/>
  <c r="C25" i="2"/>
  <c r="C94" i="2"/>
  <c r="C89" i="2"/>
  <c r="C179" i="2"/>
  <c r="C763" i="2"/>
  <c r="C164" i="2"/>
  <c r="C321" i="2"/>
  <c r="C439" i="2"/>
  <c r="C181" i="2"/>
  <c r="C90" i="2"/>
  <c r="C259" i="2"/>
  <c r="C760" i="2"/>
  <c r="C301" i="2"/>
  <c r="C790" i="2"/>
  <c r="C344" i="2"/>
  <c r="C75" i="2"/>
  <c r="C23" i="2"/>
  <c r="C761" i="2"/>
  <c r="C400" i="2"/>
  <c r="C28" i="2"/>
  <c r="C751" i="2"/>
  <c r="C331" i="2"/>
  <c r="C43" i="2"/>
  <c r="C759" i="2"/>
  <c r="C363" i="2"/>
  <c r="C369" i="2"/>
  <c r="C382" i="2"/>
  <c r="C54" i="2"/>
  <c r="C163" i="2" l="1"/>
  <c r="C329" i="2"/>
  <c r="C55" i="2"/>
  <c r="C773" i="2"/>
  <c r="C364" i="2"/>
  <c r="C800" i="2"/>
  <c r="C242" i="2"/>
  <c r="C22" i="2"/>
  <c r="C749" i="2"/>
  <c r="C408" i="2"/>
  <c r="C420" i="2"/>
  <c r="C65" i="2"/>
  <c r="C355" i="2"/>
  <c r="C172" i="2"/>
  <c r="C282" i="2"/>
  <c r="C13" i="2"/>
  <c r="C452" i="2"/>
  <c r="C332" i="2"/>
  <c r="C447" i="2"/>
  <c r="C41" i="2"/>
  <c r="C379" i="2"/>
  <c r="C46" i="2"/>
  <c r="C139" i="2"/>
  <c r="C746" i="2"/>
  <c r="C767" i="2"/>
  <c r="C293" i="2"/>
  <c r="C310" i="2"/>
  <c r="C356" i="2"/>
  <c r="C388" i="2"/>
  <c r="C443" i="2"/>
  <c r="C312" i="2"/>
  <c r="C750" i="2"/>
  <c r="C335" i="2"/>
  <c r="C138" i="2"/>
  <c r="C85" i="2"/>
  <c r="C377" i="2"/>
  <c r="C397" i="2"/>
  <c r="C194" i="2"/>
  <c r="C768" i="2"/>
  <c r="C170" i="2"/>
  <c r="C219" i="2"/>
  <c r="C445" i="2"/>
  <c r="C365" i="2"/>
  <c r="C781" i="2"/>
  <c r="C91" i="2"/>
  <c r="C348" i="2"/>
  <c r="C429" i="2"/>
  <c r="C196" i="2"/>
  <c r="C56" i="2"/>
  <c r="C425" i="2"/>
  <c r="C76" i="2"/>
  <c r="C319" i="2"/>
  <c r="C552" i="2"/>
  <c r="C291" i="2"/>
  <c r="C345" i="2"/>
  <c r="C375" i="2"/>
  <c r="C109" i="2"/>
  <c r="C132" i="2"/>
  <c r="C111" i="2"/>
  <c r="C124" i="2"/>
  <c r="C295" i="2"/>
  <c r="C338" i="2"/>
  <c r="C252" i="2"/>
  <c r="C418" i="2"/>
  <c r="C357" i="2"/>
  <c r="C320" i="2"/>
  <c r="C171" i="2"/>
  <c r="C305" i="2"/>
  <c r="C35" i="2"/>
  <c r="C12" i="2"/>
  <c r="C394" i="2"/>
  <c r="C60" i="2"/>
  <c r="C276" i="2"/>
  <c r="C222" i="2"/>
  <c r="C133" i="2"/>
  <c r="C173" i="2"/>
  <c r="C267" i="2"/>
  <c r="C142" i="2"/>
  <c r="C39" i="2"/>
  <c r="C63" i="2"/>
  <c r="C229" i="2"/>
  <c r="C323" i="2"/>
  <c r="C341" i="2"/>
  <c r="C307" i="2"/>
  <c r="C218" i="2"/>
  <c r="C21" i="2"/>
  <c r="C391" i="2"/>
  <c r="C275" i="2"/>
  <c r="C398" i="2"/>
  <c r="C192" i="2"/>
  <c r="C263" i="2"/>
  <c r="C190" i="2"/>
  <c r="C52" i="2"/>
  <c r="C417" i="2"/>
  <c r="C182" i="2"/>
  <c r="C290" i="2"/>
  <c r="C266" i="2"/>
  <c r="C269" i="2"/>
  <c r="C315" i="2"/>
  <c r="C330" i="2"/>
  <c r="C32" i="2"/>
  <c r="C199" i="2"/>
  <c r="C243" i="2"/>
  <c r="C208" i="2"/>
  <c r="C131" i="2"/>
  <c r="C372" i="2"/>
  <c r="C117" i="2"/>
  <c r="C426" i="2"/>
  <c r="C57" i="2"/>
  <c r="C316" i="2"/>
  <c r="C254" i="2"/>
  <c r="C213" i="2"/>
  <c r="C373" i="2"/>
  <c r="C451" i="2"/>
  <c r="C302" i="2"/>
  <c r="C92" i="2"/>
  <c r="C370" i="2"/>
  <c r="C257" i="2"/>
  <c r="C421" i="2"/>
  <c r="C786" i="2"/>
  <c r="C33" i="2"/>
  <c r="C97" i="2"/>
  <c r="C334" i="2"/>
  <c r="C778" i="2"/>
  <c r="C165" i="2"/>
  <c r="C406" i="2"/>
  <c r="C401" i="2"/>
  <c r="C411" i="2"/>
  <c r="C432" i="2"/>
  <c r="C298" i="2"/>
  <c r="C134" i="2"/>
  <c r="C428" i="2"/>
  <c r="C66" i="2"/>
  <c r="C308" i="2"/>
  <c r="C279" i="2"/>
  <c r="C184" i="2"/>
  <c r="C349" i="2"/>
  <c r="C49" i="2"/>
  <c r="C161" i="2"/>
  <c r="C273" i="2"/>
  <c r="C303" i="2"/>
  <c r="C15" i="2"/>
  <c r="C378" i="2"/>
  <c r="C416" i="2"/>
  <c r="C11" i="2"/>
  <c r="C755" i="2"/>
  <c r="C281" i="2"/>
  <c r="C152" i="2"/>
  <c r="C110" i="2"/>
  <c r="C366" i="2"/>
  <c r="C72" i="2"/>
  <c r="C7" i="2" l="1"/>
  <c r="C215" i="2"/>
  <c r="C448" i="2"/>
  <c r="C437" i="2"/>
  <c r="C449" i="2"/>
  <c r="C44" i="2"/>
  <c r="C450" i="2"/>
  <c r="C45" i="2"/>
  <c r="C384" i="2"/>
  <c r="C17" i="2"/>
  <c r="C223" i="2"/>
  <c r="C453" i="2"/>
  <c r="C456" i="2"/>
  <c r="C205" i="2"/>
  <c r="C42" i="2"/>
  <c r="C58" i="2"/>
  <c r="C112" i="2"/>
  <c r="C29" i="2"/>
  <c r="C81" i="2"/>
  <c r="C40" i="2"/>
  <c r="C696" i="2"/>
  <c r="C608" i="2"/>
  <c r="C508" i="2"/>
  <c r="C459" i="2"/>
  <c r="C676" i="2"/>
  <c r="C601" i="2"/>
  <c r="C597" i="2"/>
  <c r="C533" i="2"/>
  <c r="C709" i="2"/>
  <c r="C680" i="2"/>
  <c r="C701" i="2"/>
  <c r="C706" i="2"/>
  <c r="C600" i="2"/>
  <c r="C722" i="2"/>
  <c r="C468" i="2"/>
  <c r="C738" i="2"/>
  <c r="C490" i="2"/>
  <c r="C473" i="2"/>
  <c r="C596" i="2"/>
  <c r="C686" i="2"/>
  <c r="C544" i="2"/>
  <c r="C493" i="2"/>
  <c r="C634" i="2"/>
  <c r="C650" i="2"/>
  <c r="C682" i="2"/>
  <c r="C546" i="2"/>
  <c r="C506" i="2"/>
  <c r="C699" i="2"/>
  <c r="C612" i="2"/>
  <c r="C617" i="2"/>
  <c r="C483" i="2"/>
  <c r="C666" i="2"/>
  <c r="C688" i="2"/>
  <c r="C495" i="2"/>
  <c r="C673" i="2"/>
  <c r="C467" i="2"/>
  <c r="C723" i="2"/>
  <c r="C602" i="2"/>
  <c r="C629" i="2"/>
  <c r="C609" i="2"/>
  <c r="C622" i="2"/>
  <c r="C661" i="2"/>
  <c r="C523" i="2"/>
  <c r="C519" i="2"/>
  <c r="C656" i="2"/>
  <c r="C703" i="2"/>
  <c r="C477" i="2"/>
  <c r="C663" i="2"/>
  <c r="C503" i="2"/>
  <c r="C517" i="2"/>
  <c r="C488" i="2"/>
  <c r="C654" i="2"/>
  <c r="C674" i="2"/>
  <c r="C550" i="2"/>
  <c r="C704" i="2"/>
  <c r="C651" i="2"/>
  <c r="C725" i="2"/>
  <c r="C502" i="2"/>
  <c r="C620" i="2"/>
  <c r="C630" i="2"/>
  <c r="C745" i="2"/>
  <c r="C736" i="2"/>
  <c r="C626" i="2"/>
  <c r="C474" i="2"/>
  <c r="C657" i="2"/>
  <c r="C648" i="2"/>
  <c r="C461" i="2"/>
  <c r="C691" i="2"/>
  <c r="C475" i="2"/>
  <c r="C711" i="2"/>
  <c r="C599" i="2"/>
  <c r="C527" i="2"/>
  <c r="C542" i="2"/>
  <c r="C489" i="2"/>
  <c r="C731" i="2"/>
  <c r="C505" i="2"/>
  <c r="C625" i="2"/>
  <c r="C662" i="2"/>
  <c r="C743" i="2"/>
  <c r="C486" i="2"/>
  <c r="C726" i="2"/>
  <c r="C742" i="2"/>
  <c r="C644" i="2"/>
  <c r="C628" i="2"/>
  <c r="C512" i="2"/>
  <c r="C499" i="2"/>
  <c r="C649" i="2"/>
  <c r="C692" i="2"/>
  <c r="C624" i="2"/>
  <c r="C460" i="2"/>
  <c r="C507" i="2"/>
  <c r="C541" i="2"/>
  <c r="C685" i="2"/>
  <c r="C714" i="2"/>
  <c r="C501" i="2"/>
  <c r="C689" i="2"/>
  <c r="C741" i="2"/>
  <c r="C730" i="2"/>
  <c r="C632" i="2"/>
  <c r="C633" i="2"/>
  <c r="C470" i="2"/>
  <c r="C611" i="2"/>
  <c r="C687" i="2"/>
  <c r="C621" i="2"/>
  <c r="C531" i="2"/>
  <c r="C739" i="2"/>
  <c r="C545" i="2"/>
  <c r="C498" i="2"/>
  <c r="C497" i="2"/>
  <c r="C679" i="2"/>
  <c r="C721" i="2"/>
  <c r="C535" i="2"/>
  <c r="C734" i="2"/>
  <c r="C487" i="2"/>
  <c r="C511" i="2"/>
  <c r="C480" i="2"/>
  <c r="C735" i="2"/>
  <c r="C665" i="2"/>
  <c r="C675" i="2"/>
  <c r="C513" i="2"/>
  <c r="C744" i="2"/>
  <c r="C647" i="2"/>
  <c r="C485" i="2"/>
  <c r="C516" i="2"/>
  <c r="C737" i="2"/>
  <c r="C524" i="2"/>
  <c r="C457" i="2"/>
  <c r="C672" i="2"/>
  <c r="C496" i="2"/>
  <c r="C465" i="2"/>
  <c r="C526" i="2"/>
  <c r="C615" i="2"/>
  <c r="C690" i="2"/>
  <c r="C458" i="2"/>
  <c r="C471" i="2"/>
  <c r="C664" i="2"/>
  <c r="C719" i="2"/>
  <c r="C504" i="2"/>
  <c r="C26" i="2"/>
  <c r="C707" i="2"/>
  <c r="C733" i="2"/>
  <c r="C528" i="2"/>
  <c r="C642" i="2"/>
  <c r="C522" i="2"/>
  <c r="C671" i="2"/>
  <c r="C717" i="2"/>
  <c r="C645" i="2"/>
  <c r="C549" i="2"/>
  <c r="C658" i="2"/>
  <c r="C702" i="2"/>
  <c r="C712" i="2"/>
  <c r="C463" i="2"/>
  <c r="C618" i="2"/>
  <c r="C604" i="2"/>
  <c r="C639" i="2"/>
  <c r="C660" i="2"/>
  <c r="C616" i="2"/>
  <c r="C476" i="2"/>
  <c r="C491" i="2"/>
  <c r="C655" i="2"/>
  <c r="C720" i="2"/>
  <c r="C518" i="2"/>
  <c r="C695" i="2"/>
  <c r="C652" i="2"/>
  <c r="C693" i="2"/>
  <c r="C700" i="2"/>
  <c r="C683" i="2"/>
  <c r="C547" i="2"/>
  <c r="C484" i="2"/>
  <c r="C540" i="2"/>
  <c r="C525" i="2"/>
  <c r="C521" i="2"/>
  <c r="C638" i="2"/>
  <c r="C619" i="2"/>
  <c r="C636" i="2"/>
  <c r="C605" i="2"/>
  <c r="C478" i="2"/>
  <c r="C678" i="2"/>
  <c r="C10" i="2"/>
  <c r="C538" i="2"/>
  <c r="C534" i="2"/>
  <c r="C641" i="2"/>
  <c r="C669" i="2"/>
  <c r="C631" i="2"/>
  <c r="C537" i="2"/>
  <c r="C607" i="2"/>
  <c r="C529" i="2"/>
  <c r="C643" i="2"/>
  <c r="C713" i="2"/>
  <c r="C698" i="2"/>
  <c r="C472" i="2"/>
  <c r="C668" i="2"/>
  <c r="C667" i="2"/>
  <c r="C729" i="2"/>
  <c r="C464" i="2"/>
  <c r="C646" i="2"/>
  <c r="C694" i="2"/>
  <c r="C677" i="2"/>
  <c r="C514" i="2"/>
  <c r="C481" i="2"/>
  <c r="C635" i="2"/>
  <c r="C520" i="2"/>
  <c r="C492" i="2"/>
  <c r="C715" i="2"/>
  <c r="C724" i="2"/>
  <c r="C603" i="2"/>
  <c r="C697" i="2"/>
  <c r="C543" i="2"/>
  <c r="C598" i="2"/>
  <c r="C532" i="2"/>
  <c r="C653" i="2"/>
  <c r="C482" i="2"/>
  <c r="C606" i="2"/>
  <c r="C69" i="2"/>
  <c r="C479" i="2"/>
  <c r="C500" i="2"/>
  <c r="C732" i="2"/>
  <c r="C595" i="2"/>
  <c r="C515" i="2"/>
  <c r="C623" i="2"/>
  <c r="C681" i="2"/>
  <c r="C637" i="2"/>
  <c r="C708" i="2"/>
  <c r="C551" i="2"/>
  <c r="C510" i="2"/>
  <c r="C614" i="2"/>
  <c r="C539" i="2"/>
  <c r="C716" i="2"/>
  <c r="C613" i="2"/>
  <c r="C640" i="2"/>
  <c r="C548" i="2"/>
  <c r="C710" i="2"/>
  <c r="C740" i="2"/>
  <c r="C8" i="2"/>
  <c r="C2" i="2"/>
  <c r="C536" i="2"/>
  <c r="C494" i="2"/>
  <c r="C670" i="2"/>
  <c r="C659" i="2"/>
  <c r="C705" i="2"/>
  <c r="C469" i="2"/>
  <c r="C466" i="2"/>
  <c r="C727" i="2"/>
  <c r="C509" i="2"/>
  <c r="C610" i="2"/>
  <c r="C462" i="2"/>
  <c r="C530" i="2"/>
  <c r="C684" i="2"/>
  <c r="C718" i="2"/>
  <c r="C627" i="2"/>
  <c r="C728" i="2"/>
  <c r="C272" i="2" l="1"/>
  <c r="C333" i="2"/>
  <c r="C115" i="2"/>
  <c r="C351" i="2"/>
  <c r="C180" i="2"/>
  <c r="C368" i="2"/>
  <c r="C31" i="2"/>
  <c r="C146" i="2"/>
  <c r="C440" i="2"/>
  <c r="C414" i="2"/>
  <c r="C327" i="2"/>
  <c r="C122" i="2"/>
  <c r="C350" i="2"/>
  <c r="C233" i="2"/>
  <c r="C195" i="2"/>
  <c r="C174" i="2"/>
  <c r="C402" i="2"/>
  <c r="C5" i="2"/>
  <c r="C187" i="2"/>
  <c r="C297" i="2"/>
  <c r="C309" i="2"/>
  <c r="C210" i="2"/>
  <c r="C197" i="2"/>
  <c r="C70" i="2"/>
  <c r="C78" i="2"/>
  <c r="C358" i="2"/>
  <c r="C304" i="2"/>
  <c r="C68" i="2"/>
  <c r="C198" i="2"/>
  <c r="C270" i="2"/>
  <c r="C255" i="2"/>
  <c r="C280" i="2"/>
  <c r="C130" i="2"/>
  <c r="C362" i="2"/>
  <c r="C260" i="2"/>
  <c r="C247" i="2"/>
  <c r="C317" i="2"/>
  <c r="C82" i="2"/>
  <c r="C207" i="2"/>
  <c r="C137" i="2"/>
  <c r="C77" i="2" l="1"/>
  <c r="C455" i="2"/>
  <c r="C37" i="2"/>
  <c r="C246" i="2"/>
  <c r="C38" i="2"/>
  <c r="C169" i="2"/>
  <c r="C454" i="2"/>
  <c r="C83" i="2"/>
  <c r="C36" i="2"/>
</calcChain>
</file>

<file path=xl/sharedStrings.xml><?xml version="1.0" encoding="utf-8"?>
<sst xmlns="http://schemas.openxmlformats.org/spreadsheetml/2006/main" count="101" uniqueCount="58">
  <si>
    <t>MY TEAM</t>
  </si>
  <si>
    <t>GW1</t>
  </si>
  <si>
    <t>GW2</t>
  </si>
  <si>
    <t>GW3</t>
  </si>
  <si>
    <t>FULL IN</t>
  </si>
  <si>
    <t>FULL OUT</t>
  </si>
  <si>
    <t>GW4</t>
  </si>
  <si>
    <t>GW5</t>
  </si>
  <si>
    <t>GW6</t>
  </si>
  <si>
    <t>GW7</t>
  </si>
  <si>
    <t>GW8</t>
  </si>
  <si>
    <t>GW9</t>
  </si>
  <si>
    <t>GW10</t>
  </si>
  <si>
    <t>GW11</t>
  </si>
  <si>
    <t>GW12</t>
  </si>
  <si>
    <t>GW13</t>
  </si>
  <si>
    <t>GW14</t>
  </si>
  <si>
    <t>GW15</t>
  </si>
  <si>
    <t>GW16</t>
  </si>
  <si>
    <t>GW17</t>
  </si>
  <si>
    <t>GW18</t>
  </si>
  <si>
    <t>GW19</t>
  </si>
  <si>
    <t>GW20</t>
  </si>
  <si>
    <t>GW21</t>
  </si>
  <si>
    <t>GW22</t>
  </si>
  <si>
    <t>GW23</t>
  </si>
  <si>
    <t>GW24</t>
  </si>
  <si>
    <t>GW25</t>
  </si>
  <si>
    <t>GW26</t>
  </si>
  <si>
    <t>GW27</t>
  </si>
  <si>
    <t>GW28</t>
  </si>
  <si>
    <t>GW29</t>
  </si>
  <si>
    <t>GW30</t>
  </si>
  <si>
    <t>GW31</t>
  </si>
  <si>
    <t>GW32</t>
  </si>
  <si>
    <t>GW33</t>
  </si>
  <si>
    <t>GW34</t>
  </si>
  <si>
    <t>GW35</t>
  </si>
  <si>
    <t>GW36</t>
  </si>
  <si>
    <t>GW37</t>
  </si>
  <si>
    <t>GW38</t>
  </si>
  <si>
    <t>Name</t>
  </si>
  <si>
    <t>Pos</t>
  </si>
  <si>
    <t>Team</t>
  </si>
  <si>
    <t>INSERT YOUR GW1 TEAM HERE</t>
  </si>
  <si>
    <t>(Spelling must match FPL)</t>
  </si>
  <si>
    <t>ENTER GW you used your Free Hit here:</t>
  </si>
  <si>
    <t>DATE</t>
  </si>
  <si>
    <t>CHANGE</t>
  </si>
  <si>
    <t>Added FREE HIT WEEK to "J3" on sheet "TEAMS"</t>
  </si>
  <si>
    <t>Insert the week that you used your Free Hit here</t>
  </si>
  <si>
    <t>The DATA sheet will bypass those players, so that they won't show up on your team for that GW on the TEAMS sheet</t>
  </si>
  <si>
    <t>Not a perfect fix, but it'll do for now</t>
  </si>
  <si>
    <t>GW39</t>
  </si>
  <si>
    <t>Player Name</t>
  </si>
  <si>
    <t>NOTE: If I transfer a player out, then transfer the player I transferred in,back out again in a single GW, this model won't pick that up. So you have to input that manually</t>
  </si>
  <si>
    <t>2023/24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</si>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</sst>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1"/>
      <name val="Consolas"/>
      <family val="3"/>
    </font>
    <font>
      <sz val="11"/>
      <color rgb="FF000000"/>
      <name val="Consolas"/>
      <family val="3"/>
    </font>
    <font>
      <b/>
      <sz val="11"/>
      <color theme="1"/>
      <name val="Consolas"/>
      <family val="3"/>
    </font>
    <font>
      <sz val="8"/>
      <color theme="1"/>
      <name val="Consolas"/>
      <family val="3"/>
    </font>
    <font>
      <sz val="9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" fontId="0" fillId="0" borderId="0" xfId="0" applyNumberFormat="1"/>
    <xf numFmtId="1" fontId="1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right"/>
    </xf>
    <xf numFmtId="14" fontId="0" fillId="0" borderId="0" xfId="0" applyNumberFormat="1"/>
  </cellXfs>
  <cellStyles count="1">
    <cellStyle name="Normal" xfId="0" builtinId="0"/>
  </cellStyles>
  <dxfs count="74"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  <dxf>
      <fill>
        <patternFill>
          <bgColor rgb="FF66FFFF"/>
        </patternFill>
      </fill>
    </dxf>
    <dxf>
      <fill>
        <patternFill>
          <bgColor rgb="FF00FFCC"/>
        </patternFill>
      </fill>
    </dxf>
  </dxfs>
  <tableStyles count="0" defaultTableStyle="TableStyleMedium2" defaultPivotStyle="PivotStyleLight16"/>
  <colors>
    <mruColors>
      <color rgb="FF66FF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63500</xdr:colOff>
          <xdr:row>6</xdr:row>
          <xdr:rowOff>63500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D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FINAL"/>
      <sheetName val="Predict"/>
      <sheetName val="TRANSFER"/>
      <sheetName val="PPts"/>
      <sheetName val="xG2"/>
      <sheetName val="1"/>
      <sheetName val="NOTES"/>
    </sheetNames>
    <sheetDataSet>
      <sheetData sheetId="0"/>
      <sheetData sheetId="1">
        <row r="1">
          <cell r="A1" t="str">
            <v>Player Name</v>
          </cell>
          <cell r="B1" t="str">
            <v>Alt Player Name B</v>
          </cell>
          <cell r="C1" t="str">
            <v>Alt Player Name C</v>
          </cell>
          <cell r="D1" t="str">
            <v>Alt Player Name D</v>
          </cell>
          <cell r="E1" t="str">
            <v>22/23 xGI Season Pts/90</v>
          </cell>
          <cell r="F1" t="str">
            <v>22/23 FPL Season Pts/90</v>
          </cell>
          <cell r="G1" t="str">
            <v>xGI Form Pts/90</v>
          </cell>
          <cell r="H1" t="str">
            <v>xGI Season Pts/90</v>
          </cell>
          <cell r="I1" t="str">
            <v>Season Form Pts/90</v>
          </cell>
          <cell r="J1" t="str">
            <v>30 Day Form Pts/90</v>
          </cell>
          <cell r="K1" t="str">
            <v>TOTAL</v>
          </cell>
          <cell r="M1" t="str">
            <v>Team</v>
          </cell>
          <cell r="V1" t="str">
            <v>YC</v>
          </cell>
        </row>
        <row r="2">
          <cell r="A2" t="str">
            <v>Erling Haaland</v>
          </cell>
          <cell r="B2" t="str">
            <v>Haaland</v>
          </cell>
          <cell r="E2">
            <v>7.2484131156158638</v>
          </cell>
          <cell r="F2">
            <v>8.4186220718204829</v>
          </cell>
          <cell r="G2">
            <v>6.6262544994258041</v>
          </cell>
          <cell r="H2">
            <v>7.2484131156158638</v>
          </cell>
          <cell r="I2">
            <v>8.1590169859053141</v>
          </cell>
          <cell r="J2">
            <v>7.9967898667579052</v>
          </cell>
          <cell r="K2">
            <v>7.5994758024772491</v>
          </cell>
          <cell r="L2" t="str">
            <v>FWD</v>
          </cell>
          <cell r="M2" t="str">
            <v>MCI</v>
          </cell>
        </row>
        <row r="3">
          <cell r="A3" t="str">
            <v>Mohamed Salah (2nd Half)</v>
          </cell>
          <cell r="B3" t="str">
            <v>Salah</v>
          </cell>
          <cell r="E3">
            <v>7.0533682438363847</v>
          </cell>
          <cell r="F3">
            <v>7.7629741741741727</v>
          </cell>
          <cell r="G3">
            <v>7.2182664787932111</v>
          </cell>
          <cell r="H3">
            <v>6.6593569729910724</v>
          </cell>
          <cell r="I3">
            <v>6.3927051671732515</v>
          </cell>
          <cell r="J3">
            <v>7.3805286247877762</v>
          </cell>
          <cell r="K3">
            <v>7.2662500229377205</v>
          </cell>
          <cell r="L3" t="str">
            <v>MID</v>
          </cell>
          <cell r="M3" t="str">
            <v>LIV</v>
          </cell>
        </row>
        <row r="4">
          <cell r="A4" t="str">
            <v>Erling Haaland (2nd Half (post last Hattrick))</v>
          </cell>
          <cell r="E4">
            <v>6.5596745507113061</v>
          </cell>
          <cell r="F4">
            <v>7.1367424242424242</v>
          </cell>
          <cell r="G4">
            <v>7.0236695026885121</v>
          </cell>
          <cell r="H4">
            <v>7.2484131156158638</v>
          </cell>
          <cell r="I4">
            <v>8.1590169859053141</v>
          </cell>
          <cell r="J4">
            <v>6.7395574400154814</v>
          </cell>
          <cell r="K4">
            <v>6.7327949127706415</v>
          </cell>
          <cell r="L4" t="str">
            <v>FWD</v>
          </cell>
          <cell r="M4" t="str">
            <v>MCI</v>
          </cell>
        </row>
        <row r="5">
          <cell r="A5" t="str">
            <v>Mohamed Salah</v>
          </cell>
          <cell r="B5" t="str">
            <v>Salah</v>
          </cell>
          <cell r="E5">
            <v>6.6593569729910724</v>
          </cell>
          <cell r="F5">
            <v>6.6432300994003111</v>
          </cell>
          <cell r="G5">
            <v>6.115066590651443</v>
          </cell>
          <cell r="H5">
            <v>6.6593569729910724</v>
          </cell>
          <cell r="I5">
            <v>6.3927051671732515</v>
          </cell>
          <cell r="J5">
            <v>6.3936943541833307</v>
          </cell>
          <cell r="K5">
            <v>6.6545189109138443</v>
          </cell>
          <cell r="L5" t="str">
            <v>MID</v>
          </cell>
          <cell r="M5" t="str">
            <v>LIV</v>
          </cell>
        </row>
        <row r="6">
          <cell r="A6" t="str">
            <v>Harry Kane</v>
          </cell>
          <cell r="B6" t="str">
            <v>Kane</v>
          </cell>
          <cell r="E6">
            <v>6.2998037518929442</v>
          </cell>
          <cell r="F6">
            <v>7.2695436845195784</v>
          </cell>
          <cell r="G6">
            <v>3.2120252186543867</v>
          </cell>
          <cell r="H6">
            <v>6.2998037518929442</v>
          </cell>
          <cell r="I6">
            <v>6.949500880798591</v>
          </cell>
          <cell r="J6">
            <v>0</v>
          </cell>
          <cell r="K6">
            <v>6.5907257316809336</v>
          </cell>
          <cell r="L6" t="str">
            <v>FWD</v>
          </cell>
          <cell r="M6" t="str">
            <v>TOT</v>
          </cell>
        </row>
        <row r="7">
          <cell r="A7" t="str">
            <v>Kevin De Bruyne</v>
          </cell>
          <cell r="B7" t="str">
            <v>De Bruyne</v>
          </cell>
          <cell r="E7">
            <v>5.850761786376439</v>
          </cell>
          <cell r="F7">
            <v>6.5525072523829246</v>
          </cell>
          <cell r="G7">
            <v>5.0912663854679066</v>
          </cell>
          <cell r="H7">
            <v>5.850761786376439</v>
          </cell>
          <cell r="I7">
            <v>6.3704931620389553</v>
          </cell>
          <cell r="J7">
            <v>6.2379999773533967</v>
          </cell>
          <cell r="K7">
            <v>6.0612854261783848</v>
          </cell>
          <cell r="L7" t="str">
            <v>MID</v>
          </cell>
          <cell r="M7" t="str">
            <v>MCI</v>
          </cell>
        </row>
        <row r="8">
          <cell r="A8" t="str">
            <v>Callum Wilson</v>
          </cell>
          <cell r="B8" t="str">
            <v>Wilson</v>
          </cell>
          <cell r="C8" t="str">
            <v>C Wilson</v>
          </cell>
          <cell r="E8">
            <v>5.8608077412783279</v>
          </cell>
          <cell r="F8">
            <v>6.4111331805449447</v>
          </cell>
          <cell r="G8">
            <v>5.4120314540209806</v>
          </cell>
          <cell r="H8">
            <v>5.8608077412783279</v>
          </cell>
          <cell r="I8">
            <v>6.3807486631016035</v>
          </cell>
          <cell r="J8">
            <v>6.1934357037826384</v>
          </cell>
          <cell r="K8">
            <v>6.025905373058313</v>
          </cell>
          <cell r="L8" t="str">
            <v>FWD</v>
          </cell>
          <cell r="M8" t="str">
            <v>NEW</v>
          </cell>
        </row>
        <row r="9">
          <cell r="A9" t="str">
            <v>Marcus Rashford</v>
          </cell>
          <cell r="B9" t="str">
            <v>Rashford</v>
          </cell>
          <cell r="E9">
            <v>5.6395530584637585</v>
          </cell>
          <cell r="F9">
            <v>6.3032606336805559</v>
          </cell>
          <cell r="G9">
            <v>5.2750001419834316</v>
          </cell>
          <cell r="H9">
            <v>5.6395530584637585</v>
          </cell>
          <cell r="I9">
            <v>6.1215277777777777</v>
          </cell>
          <cell r="J9">
            <v>6.1561712941262536</v>
          </cell>
          <cell r="K9">
            <v>5.8386653310287979</v>
          </cell>
          <cell r="L9" t="str">
            <v>MID</v>
          </cell>
          <cell r="M9" t="str">
            <v>MUN</v>
          </cell>
        </row>
        <row r="10">
          <cell r="A10" t="str">
            <v>Ivan Toney</v>
          </cell>
          <cell r="B10" t="str">
            <v>Toney</v>
          </cell>
          <cell r="E10">
            <v>5.8066179232213777</v>
          </cell>
          <cell r="F10">
            <v>5.7262886227667815</v>
          </cell>
          <cell r="G10">
            <v>5.4952757030447081</v>
          </cell>
          <cell r="H10">
            <v>5.8066179232213777</v>
          </cell>
          <cell r="I10">
            <v>5.4852692177446674</v>
          </cell>
          <cell r="J10">
            <v>5.4588701581265946</v>
          </cell>
          <cell r="K10">
            <v>5.7825191330849988</v>
          </cell>
          <cell r="L10" t="str">
            <v>FWD</v>
          </cell>
          <cell r="M10" t="str">
            <v>BRE</v>
          </cell>
        </row>
        <row r="11">
          <cell r="A11" t="str">
            <v>Eddie Nketiah</v>
          </cell>
          <cell r="B11" t="str">
            <v>Nketiah</v>
          </cell>
          <cell r="E11">
            <v>5.4679738562091504</v>
          </cell>
          <cell r="F11">
            <v>5.5294117647058814</v>
          </cell>
          <cell r="G11">
            <v>2.1830065359477127</v>
          </cell>
          <cell r="H11">
            <v>5.4679738562091504</v>
          </cell>
          <cell r="I11">
            <v>5.2941176470588234</v>
          </cell>
          <cell r="J11">
            <v>0</v>
          </cell>
          <cell r="K11">
            <v>5.4864052287581693</v>
          </cell>
          <cell r="L11" t="str">
            <v>FWD</v>
          </cell>
          <cell r="M11" t="str">
            <v>ARS</v>
          </cell>
        </row>
        <row r="12">
          <cell r="A12" t="str">
            <v>Bruno Borges Fernandes</v>
          </cell>
          <cell r="B12" t="str">
            <v>B.Fernandes</v>
          </cell>
          <cell r="C12" t="str">
            <v>Bruno Fernandes</v>
          </cell>
          <cell r="E12">
            <v>5.6283462655001362</v>
          </cell>
          <cell r="F12">
            <v>4.9883564601683386</v>
          </cell>
          <cell r="G12">
            <v>5.1938441904864572</v>
          </cell>
          <cell r="H12">
            <v>5.6283462655001362</v>
          </cell>
          <cell r="I12">
            <v>4.7753994573409715</v>
          </cell>
          <cell r="J12">
            <v>4.8022050866611661</v>
          </cell>
          <cell r="K12">
            <v>5.4363493239005969</v>
          </cell>
          <cell r="L12" t="str">
            <v>MID</v>
          </cell>
          <cell r="M12" t="str">
            <v>MUN</v>
          </cell>
        </row>
        <row r="13">
          <cell r="A13" t="str">
            <v>Martin Ødegaard</v>
          </cell>
          <cell r="B13" t="str">
            <v>Ødegaard</v>
          </cell>
          <cell r="C13" t="str">
            <v>Odegaard</v>
          </cell>
          <cell r="D13" t="str">
            <v>Martin Odegaard</v>
          </cell>
          <cell r="E13">
            <v>5.1595670190537515</v>
          </cell>
          <cell r="F13">
            <v>5.8623623623623633</v>
          </cell>
          <cell r="G13">
            <v>4.7148049241899272</v>
          </cell>
          <cell r="H13">
            <v>5.1595670190537515</v>
          </cell>
          <cell r="I13">
            <v>5.7535121328224781</v>
          </cell>
          <cell r="J13">
            <v>5.7414941659232879</v>
          </cell>
          <cell r="K13">
            <v>5.3704056220463343</v>
          </cell>
          <cell r="L13" t="str">
            <v>MID</v>
          </cell>
          <cell r="M13" t="str">
            <v>ARS</v>
          </cell>
        </row>
        <row r="14">
          <cell r="A14" t="str">
            <v>Eberechi Eze (Post Hodge)</v>
          </cell>
          <cell r="E14">
            <v>5.0799914289456662</v>
          </cell>
          <cell r="F14">
            <v>5.9797500000000001</v>
          </cell>
          <cell r="G14">
            <v>5.0247772760007194</v>
          </cell>
          <cell r="H14">
            <v>4.5014793380540752</v>
          </cell>
          <cell r="I14">
            <v>4.955530216647662</v>
          </cell>
          <cell r="J14">
            <v>5.4558771929824559</v>
          </cell>
          <cell r="K14">
            <v>5.3499190002619663</v>
          </cell>
          <cell r="L14" t="str">
            <v>MID</v>
          </cell>
          <cell r="M14" t="str">
            <v>CRY</v>
          </cell>
        </row>
        <row r="15">
          <cell r="A15" t="str">
            <v>Julián Álvarez</v>
          </cell>
          <cell r="B15" t="str">
            <v>J.Alvarez</v>
          </cell>
          <cell r="C15" t="str">
            <v>Alvarez</v>
          </cell>
          <cell r="D15" t="str">
            <v>Julian Alvarez</v>
          </cell>
          <cell r="E15">
            <v>4.9287611559711006</v>
          </cell>
          <cell r="F15">
            <v>6.2323098172545679</v>
          </cell>
          <cell r="G15">
            <v>4.6035056880556633</v>
          </cell>
          <cell r="H15">
            <v>4.9287611559711006</v>
          </cell>
          <cell r="I15">
            <v>6.0462707182320443</v>
          </cell>
          <cell r="J15">
            <v>5.8615188934794329</v>
          </cell>
          <cell r="K15">
            <v>5.31982575435614</v>
          </cell>
          <cell r="L15" t="str">
            <v>FWD</v>
          </cell>
          <cell r="M15" t="str">
            <v>MCI</v>
          </cell>
        </row>
        <row r="16">
          <cell r="A16" t="str">
            <v>Kaoru Mitoma</v>
          </cell>
          <cell r="B16" t="str">
            <v>Mitoma</v>
          </cell>
          <cell r="E16">
            <v>5.1500405223957095</v>
          </cell>
          <cell r="F16">
            <v>5.4300302899177835</v>
          </cell>
          <cell r="G16">
            <v>5.9033642489423057</v>
          </cell>
          <cell r="H16">
            <v>5.1500405223957095</v>
          </cell>
          <cell r="I16">
            <v>5.2548680225010811</v>
          </cell>
          <cell r="J16">
            <v>3.1493737120158873</v>
          </cell>
          <cell r="K16">
            <v>5.2978202804730055</v>
          </cell>
          <cell r="L16" t="str">
            <v>MID</v>
          </cell>
          <cell r="M16" t="str">
            <v>BHA</v>
          </cell>
        </row>
        <row r="17">
          <cell r="A17" t="str">
            <v>Gabriel Fernando de Jesus</v>
          </cell>
          <cell r="B17" t="str">
            <v>G.Jesus</v>
          </cell>
          <cell r="C17" t="str">
            <v>Gabriel Jesus</v>
          </cell>
          <cell r="E17">
            <v>5.332681686046512</v>
          </cell>
          <cell r="F17">
            <v>5.2037911821705425</v>
          </cell>
          <cell r="G17">
            <v>5.1567236256630062</v>
          </cell>
          <cell r="H17">
            <v>5.332681686046512</v>
          </cell>
          <cell r="I17">
            <v>5.0872093023255811</v>
          </cell>
          <cell r="J17">
            <v>5.0684787331701386</v>
          </cell>
          <cell r="K17">
            <v>5.2940145348837202</v>
          </cell>
          <cell r="L17" t="str">
            <v>FWD</v>
          </cell>
          <cell r="M17" t="str">
            <v>ARS</v>
          </cell>
        </row>
        <row r="18">
          <cell r="A18" t="str">
            <v>Kieran Trippier</v>
          </cell>
          <cell r="B18" t="str">
            <v>Trippier</v>
          </cell>
          <cell r="E18">
            <v>5.3093942287140967</v>
          </cell>
          <cell r="F18">
            <v>5.213644524236984</v>
          </cell>
          <cell r="G18">
            <v>4.0877177164081164</v>
          </cell>
          <cell r="H18">
            <v>5.3093942287140967</v>
          </cell>
          <cell r="I18">
            <v>5.213644524236984</v>
          </cell>
          <cell r="J18">
            <v>5.1397915168165831</v>
          </cell>
          <cell r="K18">
            <v>5.2806693173709629</v>
          </cell>
          <cell r="L18" t="str">
            <v>DEF</v>
          </cell>
          <cell r="M18" t="str">
            <v>NEW</v>
          </cell>
        </row>
        <row r="19">
          <cell r="A19" t="str">
            <v>Ollie Watkins (Post Emery)</v>
          </cell>
          <cell r="E19">
            <v>4.9856183693760876</v>
          </cell>
          <cell r="F19">
            <v>5.8710660493827147</v>
          </cell>
          <cell r="G19">
            <v>4.9063506099984124</v>
          </cell>
          <cell r="H19">
            <v>4.899831682113561</v>
          </cell>
          <cell r="I19">
            <v>4.8098434004474271</v>
          </cell>
          <cell r="J19">
            <v>2.9247621131333013</v>
          </cell>
          <cell r="K19">
            <v>5.2512526733780751</v>
          </cell>
          <cell r="L19" t="str">
            <v>FWD</v>
          </cell>
          <cell r="M19" t="str">
            <v>AVL</v>
          </cell>
        </row>
        <row r="20">
          <cell r="A20" t="str">
            <v>Trent Alexander-Arnold (2nd Half)</v>
          </cell>
          <cell r="E20">
            <v>5.1175995192193442</v>
          </cell>
          <cell r="F20">
            <v>5.5293333333333328</v>
          </cell>
          <cell r="G20">
            <v>4.1754075126213879</v>
          </cell>
          <cell r="H20">
            <v>5.0569874787967137</v>
          </cell>
          <cell r="I20">
            <v>4.537987679671458</v>
          </cell>
          <cell r="J20">
            <v>5.4327568922305778</v>
          </cell>
          <cell r="K20">
            <v>5.2411196634535404</v>
          </cell>
          <cell r="L20" t="str">
            <v>DEF</v>
          </cell>
          <cell r="M20" t="str">
            <v>LIV</v>
          </cell>
        </row>
        <row r="21">
          <cell r="A21" t="str">
            <v>Alexander Isak</v>
          </cell>
          <cell r="B21" t="str">
            <v>Isak</v>
          </cell>
          <cell r="E21">
            <v>5.0928421052631583</v>
          </cell>
          <cell r="F21">
            <v>5.5729489164086683</v>
          </cell>
          <cell r="G21">
            <v>2.8528057275541796</v>
          </cell>
          <cell r="H21">
            <v>5.0928421052631583</v>
          </cell>
          <cell r="I21">
            <v>5.4605263157894735</v>
          </cell>
          <cell r="J21">
            <v>0</v>
          </cell>
          <cell r="K21">
            <v>5.2368741486068107</v>
          </cell>
          <cell r="L21" t="str">
            <v>FWD</v>
          </cell>
          <cell r="M21" t="str">
            <v>NEW</v>
          </cell>
        </row>
        <row r="22">
          <cell r="A22" t="str">
            <v>Gabriel Martinelli Silva</v>
          </cell>
          <cell r="B22" t="str">
            <v>Martinelli</v>
          </cell>
          <cell r="C22" t="str">
            <v>Gabriel Martinelli</v>
          </cell>
          <cell r="E22">
            <v>4.9649793713160433</v>
          </cell>
          <cell r="F22">
            <v>5.7404256216649445</v>
          </cell>
          <cell r="G22">
            <v>4.496821008393221</v>
          </cell>
          <cell r="H22">
            <v>4.9649793713160433</v>
          </cell>
          <cell r="I22">
            <v>5.6084618142703482</v>
          </cell>
          <cell r="J22">
            <v>5.5878120482346114</v>
          </cell>
          <cell r="K22">
            <v>5.1976132464207137</v>
          </cell>
          <cell r="L22" t="str">
            <v>MID</v>
          </cell>
          <cell r="M22" t="str">
            <v>ARS</v>
          </cell>
        </row>
        <row r="23">
          <cell r="A23" t="str">
            <v>Darwin Núñez Ribeiro</v>
          </cell>
          <cell r="B23" t="str">
            <v>Darwin</v>
          </cell>
          <cell r="C23" t="str">
            <v>Darwin Núñez</v>
          </cell>
          <cell r="D23" t="str">
            <v>Darwin Nunez</v>
          </cell>
          <cell r="E23">
            <v>5.4036629578697344</v>
          </cell>
          <cell r="F23">
            <v>4.6927740967620952</v>
          </cell>
          <cell r="G23">
            <v>5.3078036724767594</v>
          </cell>
          <cell r="H23">
            <v>5.4036629578697344</v>
          </cell>
          <cell r="I23">
            <v>4.6318289786223277</v>
          </cell>
          <cell r="J23">
            <v>4.6024819748486259</v>
          </cell>
          <cell r="K23">
            <v>5.1903962995374417</v>
          </cell>
          <cell r="L23" t="str">
            <v>FWD</v>
          </cell>
          <cell r="M23" t="str">
            <v>LIV</v>
          </cell>
        </row>
        <row r="24">
          <cell r="A24" t="str">
            <v>Bukayo Saka</v>
          </cell>
          <cell r="B24" t="str">
            <v>Saka</v>
          </cell>
          <cell r="E24">
            <v>4.9979743056749193</v>
          </cell>
          <cell r="F24">
            <v>5.5619422438461088</v>
          </cell>
          <cell r="G24">
            <v>4.4985506218953795</v>
          </cell>
          <cell r="H24">
            <v>4.9979743056749193</v>
          </cell>
          <cell r="I24">
            <v>5.3942821237825953</v>
          </cell>
          <cell r="J24">
            <v>5.3778000211783823</v>
          </cell>
          <cell r="K24">
            <v>5.1671646871262764</v>
          </cell>
          <cell r="L24" t="str">
            <v>MID</v>
          </cell>
          <cell r="M24" t="str">
            <v>ARS</v>
          </cell>
        </row>
        <row r="25">
          <cell r="A25" t="str">
            <v>Aleksandar Mitrović</v>
          </cell>
          <cell r="B25" t="str">
            <v>Mitrović</v>
          </cell>
          <cell r="C25" t="str">
            <v>Mitrovic</v>
          </cell>
          <cell r="D25" t="str">
            <v>Aleksandar Mitrovic</v>
          </cell>
          <cell r="E25">
            <v>5.3361972744970796</v>
          </cell>
          <cell r="F25">
            <v>4.7174432186891631</v>
          </cell>
          <cell r="G25">
            <v>5.098382466191909</v>
          </cell>
          <cell r="H25">
            <v>5.3361972744970796</v>
          </cell>
          <cell r="I25">
            <v>4.5781094527363182</v>
          </cell>
          <cell r="J25">
            <v>4.5609609769343704</v>
          </cell>
          <cell r="K25">
            <v>5.1505710577547044</v>
          </cell>
          <cell r="L25" t="str">
            <v>FWD</v>
          </cell>
          <cell r="M25" t="str">
            <v>FUL</v>
          </cell>
        </row>
        <row r="26">
          <cell r="A26" t="str">
            <v>Phil Foden</v>
          </cell>
          <cell r="B26" t="str">
            <v>Foden</v>
          </cell>
          <cell r="E26">
            <v>4.9062868926900274</v>
          </cell>
          <cell r="F26">
            <v>5.7001388888888878</v>
          </cell>
          <cell r="G26">
            <v>4.2430188518071299</v>
          </cell>
          <cell r="H26">
            <v>4.9062868926900274</v>
          </cell>
          <cell r="I26">
            <v>5.5611111111111109</v>
          </cell>
          <cell r="J26">
            <v>5.8221191245214028</v>
          </cell>
          <cell r="K26">
            <v>5.1444424915496851</v>
          </cell>
          <cell r="L26" t="str">
            <v>MID</v>
          </cell>
          <cell r="M26" t="str">
            <v>MCI</v>
          </cell>
        </row>
        <row r="27">
          <cell r="A27" t="str">
            <v>Bryan Mbeumo (More Mins)</v>
          </cell>
          <cell r="B27" t="str">
            <v>Mbeumo</v>
          </cell>
          <cell r="E27">
            <v>5.3115013936174353</v>
          </cell>
          <cell r="F27">
            <v>4.7521514629948367</v>
          </cell>
          <cell r="G27">
            <v>4.1968352901044792</v>
          </cell>
          <cell r="H27">
            <v>4.6151389770840821</v>
          </cell>
          <cell r="I27">
            <v>4.0791738382099823</v>
          </cell>
          <cell r="J27">
            <v>6.2850088315127453</v>
          </cell>
          <cell r="K27">
            <v>5.1436964144306554</v>
          </cell>
          <cell r="L27" t="str">
            <v>MID</v>
          </cell>
          <cell r="M27" t="str">
            <v>BRE</v>
          </cell>
        </row>
        <row r="28">
          <cell r="A28" t="str">
            <v>Deniz Undav</v>
          </cell>
          <cell r="B28" t="str">
            <v>Undav</v>
          </cell>
          <cell r="E28">
            <v>4.7405537459283389</v>
          </cell>
          <cell r="F28">
            <v>6.0130293159609121</v>
          </cell>
          <cell r="G28">
            <v>2.231270358306189</v>
          </cell>
          <cell r="H28">
            <v>4.7405537459283389</v>
          </cell>
          <cell r="I28">
            <v>6.0130293159609121</v>
          </cell>
          <cell r="J28">
            <v>0</v>
          </cell>
          <cell r="K28">
            <v>5.1222964169381102</v>
          </cell>
          <cell r="L28" t="str">
            <v>FWD</v>
          </cell>
          <cell r="M28" t="str">
            <v>BHA</v>
          </cell>
        </row>
        <row r="29">
          <cell r="A29" t="str">
            <v>Riyad Mahrez</v>
          </cell>
          <cell r="B29" t="str">
            <v>Mahrez</v>
          </cell>
          <cell r="E29">
            <v>4.9155875264827165</v>
          </cell>
          <cell r="F29">
            <v>5.4009409304756923</v>
          </cell>
          <cell r="G29">
            <v>4.2222793962821346</v>
          </cell>
          <cell r="H29">
            <v>4.9155875264827165</v>
          </cell>
          <cell r="I29">
            <v>5.2692106638787246</v>
          </cell>
          <cell r="J29">
            <v>5.1493326315789485</v>
          </cell>
          <cell r="K29">
            <v>5.0611935476806096</v>
          </cell>
          <cell r="L29" t="str">
            <v>MID</v>
          </cell>
          <cell r="M29" t="str">
            <v>MCI</v>
          </cell>
        </row>
        <row r="30">
          <cell r="A30" t="str">
            <v>Sergio Gómez</v>
          </cell>
          <cell r="B30" t="str">
            <v>Sergio Gómez</v>
          </cell>
          <cell r="C30" t="str">
            <v>S Gomez</v>
          </cell>
          <cell r="E30">
            <v>4.8217943727123282</v>
          </cell>
          <cell r="F30">
            <v>5.1882352941176473</v>
          </cell>
          <cell r="G30">
            <v>2.2470588235294118</v>
          </cell>
          <cell r="H30">
            <v>4.8217943727123282</v>
          </cell>
          <cell r="I30">
            <v>5.1882352941176473</v>
          </cell>
          <cell r="J30">
            <v>0</v>
          </cell>
          <cell r="K30">
            <v>4.9317266491339238</v>
          </cell>
          <cell r="L30" t="str">
            <v>DEF</v>
          </cell>
          <cell r="M30" t="str">
            <v>MCI</v>
          </cell>
        </row>
        <row r="31">
          <cell r="A31" t="str">
            <v>Ollie Watkins</v>
          </cell>
          <cell r="B31" t="str">
            <v>Watkins</v>
          </cell>
          <cell r="E31">
            <v>4.899831682113561</v>
          </cell>
          <cell r="F31">
            <v>4.9835321899080283</v>
          </cell>
          <cell r="G31">
            <v>4.8692211077990928</v>
          </cell>
          <cell r="H31">
            <v>4.899831682113561</v>
          </cell>
          <cell r="I31">
            <v>4.8098434004474271</v>
          </cell>
          <cell r="J31">
            <v>4.8679379900021891</v>
          </cell>
          <cell r="K31">
            <v>4.9249418344519009</v>
          </cell>
          <cell r="L31" t="str">
            <v>FWD</v>
          </cell>
          <cell r="M31" t="str">
            <v>AVL</v>
          </cell>
        </row>
        <row r="32">
          <cell r="A32" t="str">
            <v>Solly March</v>
          </cell>
          <cell r="B32" t="str">
            <v>March</v>
          </cell>
          <cell r="E32">
            <v>4.9553555907491882</v>
          </cell>
          <cell r="F32">
            <v>4.7919882784230454</v>
          </cell>
          <cell r="G32">
            <v>4.7899108727997675</v>
          </cell>
          <cell r="H32">
            <v>4.9553555907491882</v>
          </cell>
          <cell r="I32">
            <v>4.6495034939315927</v>
          </cell>
          <cell r="J32">
            <v>4.7632389624890994</v>
          </cell>
          <cell r="K32">
            <v>4.9063453970513446</v>
          </cell>
          <cell r="L32" t="str">
            <v>MID</v>
          </cell>
          <cell r="M32" t="str">
            <v>BHA</v>
          </cell>
        </row>
        <row r="33">
          <cell r="A33" t="str">
            <v>Alexis Mac Allister</v>
          </cell>
          <cell r="B33" t="str">
            <v>Mac Allister</v>
          </cell>
          <cell r="E33">
            <v>5.0694062816155894</v>
          </cell>
          <cell r="F33">
            <v>4.5116630476147845</v>
          </cell>
          <cell r="G33">
            <v>4.6010094034579652</v>
          </cell>
          <cell r="H33">
            <v>5.0694062816155894</v>
          </cell>
          <cell r="I33">
            <v>4.3233865371269964</v>
          </cell>
          <cell r="J33">
            <v>4.3180623773571138</v>
          </cell>
          <cell r="K33">
            <v>4.9020833114153479</v>
          </cell>
          <cell r="L33" t="str">
            <v>MID</v>
          </cell>
          <cell r="M33" t="str">
            <v>LIV</v>
          </cell>
        </row>
        <row r="34">
          <cell r="A34" t="str">
            <v>Trent Alexander-Arnold</v>
          </cell>
          <cell r="B34" t="str">
            <v>Alexander-Arnold</v>
          </cell>
          <cell r="C34" t="str">
            <v>Trent</v>
          </cell>
          <cell r="E34">
            <v>5.0569874787967137</v>
          </cell>
          <cell r="F34">
            <v>4.537987679671458</v>
          </cell>
          <cell r="G34">
            <v>2.4555954825462014</v>
          </cell>
          <cell r="H34">
            <v>5.0569874787967137</v>
          </cell>
          <cell r="I34">
            <v>4.537987679671458</v>
          </cell>
          <cell r="J34">
            <v>0</v>
          </cell>
          <cell r="K34">
            <v>4.9012875390591368</v>
          </cell>
          <cell r="L34" t="str">
            <v>DEF</v>
          </cell>
          <cell r="M34" t="str">
            <v>LIV</v>
          </cell>
        </row>
        <row r="35">
          <cell r="A35" t="str">
            <v>James Maddison</v>
          </cell>
          <cell r="B35" t="str">
            <v>Maddison</v>
          </cell>
          <cell r="E35">
            <v>4.8864955781562074</v>
          </cell>
          <cell r="F35">
            <v>4.8589653085921745</v>
          </cell>
          <cell r="G35">
            <v>4.406849171052535</v>
          </cell>
          <cell r="H35">
            <v>4.8864955781562074</v>
          </cell>
          <cell r="I35">
            <v>4.6833400564743846</v>
          </cell>
          <cell r="J35">
            <v>4.6694168327674044</v>
          </cell>
          <cell r="K35">
            <v>4.8782364972869976</v>
          </cell>
          <cell r="L35" t="str">
            <v>MID</v>
          </cell>
          <cell r="M35" t="str">
            <v>TOT</v>
          </cell>
        </row>
        <row r="36">
          <cell r="A36" t="str">
            <v>Christopher Nkunku</v>
          </cell>
          <cell r="E36">
            <v>4.4267500000000002</v>
          </cell>
          <cell r="F36">
            <v>5.7062500000000007</v>
          </cell>
          <cell r="G36">
            <v>1.75</v>
          </cell>
          <cell r="H36">
            <v>4.4267500000000002</v>
          </cell>
          <cell r="I36">
            <v>5.5</v>
          </cell>
          <cell r="J36">
            <v>0</v>
          </cell>
          <cell r="K36">
            <v>4.8106</v>
          </cell>
          <cell r="L36" t="str">
            <v>FWD</v>
          </cell>
          <cell r="M36" t="str">
            <v>CHE</v>
          </cell>
        </row>
        <row r="37">
          <cell r="A37" t="str">
            <v>Pedro Porro</v>
          </cell>
          <cell r="E37">
            <v>4.9302881389774189</v>
          </cell>
          <cell r="F37">
            <v>4.4823321554770326</v>
          </cell>
          <cell r="G37">
            <v>2.2798586572438162</v>
          </cell>
          <cell r="H37">
            <v>4.9302881389774189</v>
          </cell>
          <cell r="I37">
            <v>4.4823321554770326</v>
          </cell>
          <cell r="J37">
            <v>0</v>
          </cell>
          <cell r="K37">
            <v>4.7959013439273033</v>
          </cell>
          <cell r="L37" t="str">
            <v>DEF</v>
          </cell>
          <cell r="M37" t="str">
            <v>TOT</v>
          </cell>
        </row>
        <row r="38">
          <cell r="A38" t="str">
            <v>Nicolas Jackson</v>
          </cell>
          <cell r="E38">
            <v>4.6652500000000003</v>
          </cell>
          <cell r="F38">
            <v>4.95</v>
          </cell>
          <cell r="G38">
            <v>2.4</v>
          </cell>
          <cell r="H38">
            <v>4.6652500000000003</v>
          </cell>
          <cell r="I38">
            <v>4.8</v>
          </cell>
          <cell r="J38">
            <v>0</v>
          </cell>
          <cell r="K38">
            <v>4.7506750000000002</v>
          </cell>
          <cell r="L38" t="str">
            <v>FWD</v>
          </cell>
          <cell r="M38" t="str">
            <v>CHE</v>
          </cell>
        </row>
        <row r="39">
          <cell r="A39" t="str">
            <v>Eberechi Eze</v>
          </cell>
          <cell r="B39" t="str">
            <v>Eze</v>
          </cell>
          <cell r="E39">
            <v>4.5014793380540752</v>
          </cell>
          <cell r="F39">
            <v>5.0794184720638533</v>
          </cell>
          <cell r="G39">
            <v>4.1932525659935376</v>
          </cell>
          <cell r="H39">
            <v>4.5014793380540752</v>
          </cell>
          <cell r="I39">
            <v>4.955530216647662</v>
          </cell>
          <cell r="J39">
            <v>4.9895668981710761</v>
          </cell>
          <cell r="K39">
            <v>4.6748610782570088</v>
          </cell>
          <cell r="L39" t="str">
            <v>MID</v>
          </cell>
          <cell r="M39" t="str">
            <v>CRY</v>
          </cell>
        </row>
        <row r="40">
          <cell r="A40" t="str">
            <v>Miguel Almirón Rejala</v>
          </cell>
          <cell r="B40" t="str">
            <v>Almirón</v>
          </cell>
          <cell r="C40" t="str">
            <v>Miguel Almirón</v>
          </cell>
          <cell r="D40" t="str">
            <v>Miguel Almiron</v>
          </cell>
          <cell r="E40">
            <v>4.4040144862022608</v>
          </cell>
          <cell r="F40">
            <v>5.199193045214427</v>
          </cell>
          <cell r="G40">
            <v>3.8375755701163716</v>
          </cell>
          <cell r="H40">
            <v>4.4040144862022608</v>
          </cell>
          <cell r="I40">
            <v>5.145958986731002</v>
          </cell>
          <cell r="J40">
            <v>5.0055411915738812</v>
          </cell>
          <cell r="K40">
            <v>4.6425680539059098</v>
          </cell>
          <cell r="L40" t="str">
            <v>MID</v>
          </cell>
          <cell r="M40" t="str">
            <v>NEW</v>
          </cell>
        </row>
        <row r="41">
          <cell r="A41" t="str">
            <v>Jack Grealish</v>
          </cell>
          <cell r="B41" t="str">
            <v>Grealish</v>
          </cell>
          <cell r="E41">
            <v>4.4694227811071423</v>
          </cell>
          <cell r="F41">
            <v>5.0137292519025713</v>
          </cell>
          <cell r="G41">
            <v>3.8187665212752293</v>
          </cell>
          <cell r="H41">
            <v>4.4694227811071423</v>
          </cell>
          <cell r="I41">
            <v>4.8966357874207702</v>
          </cell>
          <cell r="J41">
            <v>4.7933956778076592</v>
          </cell>
          <cell r="K41">
            <v>4.6327147223457708</v>
          </cell>
          <cell r="L41" t="str">
            <v>MID</v>
          </cell>
          <cell r="M41" t="str">
            <v>MCI</v>
          </cell>
        </row>
        <row r="42">
          <cell r="A42" t="str">
            <v>Son Heung-Min</v>
          </cell>
          <cell r="B42" t="str">
            <v>Son</v>
          </cell>
          <cell r="E42">
            <v>4.63323660181252</v>
          </cell>
          <cell r="F42">
            <v>4.6056616056616049</v>
          </cell>
          <cell r="G42">
            <v>4.220657200375622</v>
          </cell>
          <cell r="H42">
            <v>4.63323660181252</v>
          </cell>
          <cell r="I42">
            <v>4.4767844767844762</v>
          </cell>
          <cell r="J42">
            <v>4.4621835457063721</v>
          </cell>
          <cell r="K42">
            <v>4.6249641029672448</v>
          </cell>
          <cell r="L42" t="str">
            <v>MID</v>
          </cell>
          <cell r="M42" t="str">
            <v>TOT</v>
          </cell>
        </row>
        <row r="43">
          <cell r="A43" t="str">
            <v>Taiwo Awoniyi</v>
          </cell>
          <cell r="B43" t="str">
            <v>Awoniyi</v>
          </cell>
          <cell r="E43">
            <v>4.2241577060931892</v>
          </cell>
          <cell r="F43">
            <v>5.0896057347670247</v>
          </cell>
          <cell r="G43">
            <v>4.1949507846487633</v>
          </cell>
          <cell r="H43">
            <v>4.2241577060931892</v>
          </cell>
          <cell r="I43">
            <v>5.0896057347670247</v>
          </cell>
          <cell r="J43">
            <v>5.0438372319688138</v>
          </cell>
          <cell r="K43">
            <v>4.4837921146953397</v>
          </cell>
          <cell r="L43" t="str">
            <v>FWD</v>
          </cell>
          <cell r="M43" t="str">
            <v>NFO</v>
          </cell>
        </row>
        <row r="44">
          <cell r="A44" t="str">
            <v>Richarlison de Andrade</v>
          </cell>
          <cell r="B44" t="str">
            <v>Richarlison</v>
          </cell>
          <cell r="E44">
            <v>4.3144618942059996</v>
          </cell>
          <cell r="F44">
            <v>4.8423618090452267</v>
          </cell>
          <cell r="G44">
            <v>1.9070854271356785</v>
          </cell>
          <cell r="H44">
            <v>4.3144618942059996</v>
          </cell>
          <cell r="I44">
            <v>4.6673366834170853</v>
          </cell>
          <cell r="J44">
            <v>0</v>
          </cell>
          <cell r="K44">
            <v>4.4728318686577673</v>
          </cell>
          <cell r="L44" t="str">
            <v>MID</v>
          </cell>
          <cell r="M44" t="str">
            <v>TOT</v>
          </cell>
        </row>
        <row r="45">
          <cell r="A45" t="str">
            <v>Alejandro Garnacho</v>
          </cell>
          <cell r="B45" t="str">
            <v>Garnacho</v>
          </cell>
          <cell r="E45">
            <v>4.2462804324004182</v>
          </cell>
          <cell r="F45">
            <v>4.999281867145422</v>
          </cell>
          <cell r="G45">
            <v>1.607899461400359</v>
          </cell>
          <cell r="H45">
            <v>4.2462804324004182</v>
          </cell>
          <cell r="I45">
            <v>4.9012567324955114</v>
          </cell>
          <cell r="J45">
            <v>0</v>
          </cell>
          <cell r="K45">
            <v>4.4721808628239188</v>
          </cell>
          <cell r="L45" t="str">
            <v>MID</v>
          </cell>
          <cell r="M45" t="str">
            <v>MUN</v>
          </cell>
        </row>
        <row r="46">
          <cell r="A46" t="str">
            <v>Evan Ferguson</v>
          </cell>
          <cell r="B46" t="str">
            <v>Ferguson</v>
          </cell>
          <cell r="E46">
            <v>4.3041295116772824</v>
          </cell>
          <cell r="F46">
            <v>4.8542993630573248</v>
          </cell>
          <cell r="G46">
            <v>2.5253715498938427</v>
          </cell>
          <cell r="H46">
            <v>4.3041295116772824</v>
          </cell>
          <cell r="I46">
            <v>4.8301486199575372</v>
          </cell>
          <cell r="J46">
            <v>0</v>
          </cell>
          <cell r="K46">
            <v>4.4691804670912951</v>
          </cell>
          <cell r="L46" t="str">
            <v>FWD</v>
          </cell>
          <cell r="M46" t="str">
            <v>BHA</v>
          </cell>
        </row>
        <row r="47">
          <cell r="A47" t="str">
            <v>Yoane Wissa (More mins)</v>
          </cell>
          <cell r="E47">
            <v>3.9076609955891617</v>
          </cell>
          <cell r="F47">
            <v>5.7500555555555568</v>
          </cell>
          <cell r="G47">
            <v>3.7705880052194893</v>
          </cell>
          <cell r="H47">
            <v>3.9076609955891617</v>
          </cell>
          <cell r="I47">
            <v>6.0151228733459359</v>
          </cell>
          <cell r="J47">
            <v>6.5184277203094192</v>
          </cell>
          <cell r="K47">
            <v>4.4603793635790803</v>
          </cell>
          <cell r="L47" t="str">
            <v>FWD</v>
          </cell>
          <cell r="M47" t="str">
            <v>BRE</v>
          </cell>
        </row>
        <row r="48">
          <cell r="A48" t="str">
            <v>João Cancelo</v>
          </cell>
          <cell r="B48" t="str">
            <v>Cancelo</v>
          </cell>
          <cell r="C48" t="str">
            <v>Joao Cancelo</v>
          </cell>
          <cell r="E48">
            <v>4.4481488758485117</v>
          </cell>
          <cell r="F48">
            <v>4.4728986645718773</v>
          </cell>
          <cell r="G48">
            <v>2.9129173333119578</v>
          </cell>
          <cell r="H48">
            <v>4.4481488758485117</v>
          </cell>
          <cell r="I48">
            <v>4.4728986645718773</v>
          </cell>
          <cell r="J48">
            <v>4.3986961546723951</v>
          </cell>
          <cell r="K48">
            <v>4.4555738124655209</v>
          </cell>
          <cell r="L48" t="str">
            <v>DEF</v>
          </cell>
          <cell r="M48" t="str">
            <v>MCI</v>
          </cell>
        </row>
        <row r="49">
          <cell r="A49" t="str">
            <v>Bryan Mbeumo</v>
          </cell>
          <cell r="B49" t="str">
            <v>Mbeumo</v>
          </cell>
          <cell r="E49">
            <v>4.5914229826615527</v>
          </cell>
          <cell r="F49">
            <v>4.1358290304073426</v>
          </cell>
          <cell r="G49">
            <v>4.2129694543094818</v>
          </cell>
          <cell r="H49">
            <v>4.5914229826615527</v>
          </cell>
          <cell r="I49">
            <v>4.0791738382099823</v>
          </cell>
          <cell r="J49">
            <v>4.0553964791538384</v>
          </cell>
          <cell r="K49">
            <v>4.45474479698529</v>
          </cell>
          <cell r="L49" t="str">
            <v>MID</v>
          </cell>
          <cell r="M49" t="str">
            <v>BRE</v>
          </cell>
        </row>
        <row r="50">
          <cell r="A50" t="str">
            <v>John Stones</v>
          </cell>
          <cell r="B50" t="str">
            <v>Stones</v>
          </cell>
          <cell r="E50">
            <v>4.5259607285379611</v>
          </cell>
          <cell r="F50">
            <v>4.2868763557483733</v>
          </cell>
          <cell r="G50">
            <v>3.0068329800766476</v>
          </cell>
          <cell r="H50">
            <v>4.5259607285379611</v>
          </cell>
          <cell r="I50">
            <v>4.2868763557483733</v>
          </cell>
          <cell r="J50">
            <v>4.2145004675828242</v>
          </cell>
          <cell r="K50">
            <v>4.4542354167010849</v>
          </cell>
          <cell r="L50" t="str">
            <v>DEF</v>
          </cell>
          <cell r="M50" t="str">
            <v>MCI</v>
          </cell>
        </row>
        <row r="51">
          <cell r="A51" t="str">
            <v>Diogo Dalot Teixeira</v>
          </cell>
          <cell r="B51" t="str">
            <v>Dalot</v>
          </cell>
          <cell r="C51" t="str">
            <v>Diogo Dalot</v>
          </cell>
          <cell r="E51">
            <v>4.5334728292753397</v>
          </cell>
          <cell r="F51">
            <v>4.2184014869888475</v>
          </cell>
          <cell r="G51">
            <v>3.3730079853075114</v>
          </cell>
          <cell r="H51">
            <v>4.5334728292753397</v>
          </cell>
          <cell r="I51">
            <v>4.2184014869888475</v>
          </cell>
          <cell r="J51">
            <v>4.2127221378097044</v>
          </cell>
          <cell r="K51">
            <v>4.4389514265893917</v>
          </cell>
          <cell r="L51" t="str">
            <v>DEF</v>
          </cell>
          <cell r="M51" t="str">
            <v>MUN</v>
          </cell>
        </row>
        <row r="52">
          <cell r="A52" t="str">
            <v>Cody Gakpo</v>
          </cell>
          <cell r="B52" t="str">
            <v>Gakpo</v>
          </cell>
          <cell r="E52">
            <v>4.1267289266221958</v>
          </cell>
          <cell r="F52">
            <v>5.0987265009096419</v>
          </cell>
          <cell r="G52">
            <v>4.0597316216278525</v>
          </cell>
          <cell r="H52">
            <v>4.1267289266221958</v>
          </cell>
          <cell r="I52">
            <v>5.0103092783505154</v>
          </cell>
          <cell r="J52">
            <v>5.000773684210527</v>
          </cell>
          <cell r="K52">
            <v>4.4183281989084291</v>
          </cell>
          <cell r="L52" t="str">
            <v>FWD</v>
          </cell>
          <cell r="M52" t="str">
            <v>LIV</v>
          </cell>
        </row>
        <row r="53">
          <cell r="A53" t="str">
            <v>Kai Havertz</v>
          </cell>
          <cell r="B53" t="str">
            <v>Havertz</v>
          </cell>
          <cell r="E53">
            <v>4.886752836116762</v>
          </cell>
          <cell r="F53">
            <v>3.3015789473684216</v>
          </cell>
          <cell r="G53">
            <v>4.4038619647620507</v>
          </cell>
          <cell r="H53">
            <v>4.886752836116762</v>
          </cell>
          <cell r="I53">
            <v>3.2210526315789481</v>
          </cell>
          <cell r="J53">
            <v>3.2041962575648961</v>
          </cell>
          <cell r="K53">
            <v>4.4112006694922599</v>
          </cell>
          <cell r="L53" t="str">
            <v>MID</v>
          </cell>
          <cell r="M53" t="str">
            <v>ARS</v>
          </cell>
        </row>
        <row r="54">
          <cell r="A54" t="str">
            <v>Jadon Sancho</v>
          </cell>
          <cell r="B54" t="str">
            <v>Sancho</v>
          </cell>
          <cell r="E54">
            <v>4.263505770518174</v>
          </cell>
          <cell r="F54">
            <v>4.6607248960190129</v>
          </cell>
          <cell r="G54">
            <v>3.980475771773285</v>
          </cell>
          <cell r="H54">
            <v>4.263505770518174</v>
          </cell>
          <cell r="I54">
            <v>4.616755793226381</v>
          </cell>
          <cell r="J54">
            <v>4.6330127626896438</v>
          </cell>
          <cell r="K54">
            <v>4.3826715081684249</v>
          </cell>
          <cell r="L54" t="str">
            <v>MID</v>
          </cell>
          <cell r="M54" t="str">
            <v>MUN</v>
          </cell>
        </row>
        <row r="55">
          <cell r="A55" t="str">
            <v>Jarrod Bowen</v>
          </cell>
          <cell r="B55" t="str">
            <v>Bowen</v>
          </cell>
          <cell r="E55">
            <v>4.4573082852492112</v>
          </cell>
          <cell r="F55">
            <v>4.1592538160065997</v>
          </cell>
          <cell r="G55">
            <v>4.1625305187614883</v>
          </cell>
          <cell r="H55">
            <v>4.4573082852492112</v>
          </cell>
          <cell r="I55">
            <v>3.9928836633663365</v>
          </cell>
          <cell r="J55">
            <v>4.0427568521985444</v>
          </cell>
          <cell r="K55">
            <v>4.3678919444764279</v>
          </cell>
          <cell r="L55" t="str">
            <v>MID</v>
          </cell>
          <cell r="M55" t="str">
            <v>WHU</v>
          </cell>
        </row>
        <row r="56">
          <cell r="A56" t="str">
            <v>Pascal Groß</v>
          </cell>
          <cell r="B56" t="str">
            <v>Gross</v>
          </cell>
          <cell r="C56" t="str">
            <v>Gross</v>
          </cell>
          <cell r="D56" t="str">
            <v>Pascal Gross</v>
          </cell>
          <cell r="E56">
            <v>4.2707585670623054</v>
          </cell>
          <cell r="F56">
            <v>4.4935935935935936</v>
          </cell>
          <cell r="G56">
            <v>4.052130667534561</v>
          </cell>
          <cell r="H56">
            <v>4.2707585670623054</v>
          </cell>
          <cell r="I56">
            <v>4.318518518518518</v>
          </cell>
          <cell r="J56">
            <v>4.4190128675192177</v>
          </cell>
          <cell r="K56">
            <v>4.3376090750216916</v>
          </cell>
          <cell r="L56" t="str">
            <v>MID</v>
          </cell>
          <cell r="M56" t="str">
            <v>BHA</v>
          </cell>
        </row>
        <row r="57">
          <cell r="A57" t="str">
            <v>Luis Díaz</v>
          </cell>
          <cell r="B57" t="str">
            <v>Luis Díaz</v>
          </cell>
          <cell r="C57" t="str">
            <v>Luis Diaz</v>
          </cell>
          <cell r="E57">
            <v>4.0457571888406738</v>
          </cell>
          <cell r="F57">
            <v>4.8628566186588387</v>
          </cell>
          <cell r="G57">
            <v>3.6990730226289994</v>
          </cell>
          <cell r="H57">
            <v>4.0457571888406738</v>
          </cell>
          <cell r="I57">
            <v>4.7547931382441977</v>
          </cell>
          <cell r="J57">
            <v>2.3658278714859438</v>
          </cell>
          <cell r="K57">
            <v>4.2908870177861234</v>
          </cell>
          <cell r="L57" t="str">
            <v>MID</v>
          </cell>
          <cell r="M57" t="str">
            <v>LIV</v>
          </cell>
        </row>
        <row r="58">
          <cell r="A58" t="str">
            <v>Raheem Sterling</v>
          </cell>
          <cell r="B58" t="str">
            <v>Sterling</v>
          </cell>
          <cell r="E58">
            <v>4.3587955667900937</v>
          </cell>
          <cell r="F58">
            <v>4.1319240167827012</v>
          </cell>
          <cell r="G58">
            <v>3.9334350106888425</v>
          </cell>
          <cell r="H58">
            <v>4.3587955667900937</v>
          </cell>
          <cell r="I58">
            <v>4.0699893955461297</v>
          </cell>
          <cell r="J58">
            <v>4.0255414574299326</v>
          </cell>
          <cell r="K58">
            <v>4.2907341017878755</v>
          </cell>
          <cell r="L58" t="str">
            <v>MID</v>
          </cell>
          <cell r="M58" t="str">
            <v>CHE</v>
          </cell>
        </row>
        <row r="59">
          <cell r="A59" t="str">
            <v>Nathan Aké</v>
          </cell>
          <cell r="B59" t="str">
            <v>Aké</v>
          </cell>
          <cell r="C59" t="str">
            <v>Ake</v>
          </cell>
          <cell r="D59" t="str">
            <v>Nathan Ake</v>
          </cell>
          <cell r="E59">
            <v>4.3761161811336775</v>
          </cell>
          <cell r="F59">
            <v>4.032068412613576</v>
          </cell>
          <cell r="G59">
            <v>2.8531483955452437</v>
          </cell>
          <cell r="H59">
            <v>4.3761161811336775</v>
          </cell>
          <cell r="I59">
            <v>4.032068412613576</v>
          </cell>
          <cell r="J59">
            <v>3.9640564565712197</v>
          </cell>
          <cell r="K59">
            <v>4.2729018505776466</v>
          </cell>
          <cell r="L59" t="str">
            <v>DEF</v>
          </cell>
          <cell r="M59" t="str">
            <v>MCI</v>
          </cell>
        </row>
        <row r="60">
          <cell r="A60" t="str">
            <v>Saïd Benrahma</v>
          </cell>
          <cell r="B60" t="str">
            <v>Benrahma</v>
          </cell>
          <cell r="C60" t="str">
            <v>Said Benrahma</v>
          </cell>
          <cell r="E60">
            <v>4.3454359082686835</v>
          </cell>
          <cell r="F60">
            <v>4.0361340456532293</v>
          </cell>
          <cell r="G60">
            <v>4.114314447968737</v>
          </cell>
          <cell r="H60">
            <v>4.3454359082686835</v>
          </cell>
          <cell r="I60">
            <v>3.9640602234094224</v>
          </cell>
          <cell r="J60">
            <v>3.9954105991707154</v>
          </cell>
          <cell r="K60">
            <v>4.2526453494840473</v>
          </cell>
          <cell r="L60" t="str">
            <v>MID</v>
          </cell>
          <cell r="M60" t="str">
            <v>WHU</v>
          </cell>
        </row>
        <row r="61">
          <cell r="A61" t="str">
            <v>Gabriel dos Santos Magalhães</v>
          </cell>
          <cell r="B61" t="str">
            <v>Gabriel</v>
          </cell>
          <cell r="C61" t="str">
            <v>Gabriel Magalhaes</v>
          </cell>
          <cell r="D61" t="str">
            <v>Gabriel Dos Santos</v>
          </cell>
          <cell r="E61">
            <v>4.4208122391480753</v>
          </cell>
          <cell r="F61">
            <v>3.85450278674098</v>
          </cell>
          <cell r="G61">
            <v>3.0727353460653677</v>
          </cell>
          <cell r="H61">
            <v>4.4208122391480753</v>
          </cell>
          <cell r="I61">
            <v>3.85450278674098</v>
          </cell>
          <cell r="J61">
            <v>3.8641325519136656</v>
          </cell>
          <cell r="K61">
            <v>4.2509194034259465</v>
          </cell>
          <cell r="L61" t="str">
            <v>DEF</v>
          </cell>
          <cell r="M61" t="str">
            <v>ARS</v>
          </cell>
        </row>
        <row r="62">
          <cell r="A62" t="str">
            <v>Ivan Perišić</v>
          </cell>
          <cell r="B62" t="str">
            <v>Perišić</v>
          </cell>
          <cell r="C62" t="str">
            <v>Ivan Perisic</v>
          </cell>
          <cell r="D62" t="str">
            <v>PERISIC</v>
          </cell>
          <cell r="E62">
            <v>4.4682455115757458</v>
          </cell>
          <cell r="F62">
            <v>3.7170080990948082</v>
          </cell>
          <cell r="G62">
            <v>3.3448254501170469</v>
          </cell>
          <cell r="H62">
            <v>4.4682455115757458</v>
          </cell>
          <cell r="I62">
            <v>3.7170080990948082</v>
          </cell>
          <cell r="J62">
            <v>3.689842645161292</v>
          </cell>
          <cell r="K62">
            <v>4.242874287831464</v>
          </cell>
          <cell r="L62" t="str">
            <v>DEF</v>
          </cell>
          <cell r="M62" t="str">
            <v>TOT</v>
          </cell>
        </row>
        <row r="63">
          <cell r="A63" t="str">
            <v>Anthony Martial</v>
          </cell>
          <cell r="B63" t="str">
            <v>Martial</v>
          </cell>
          <cell r="E63">
            <v>4.1773195876288662</v>
          </cell>
          <cell r="F63">
            <v>4.3546391752577316</v>
          </cell>
          <cell r="G63">
            <v>2.2639175257731958</v>
          </cell>
          <cell r="H63">
            <v>4.1773195876288662</v>
          </cell>
          <cell r="I63">
            <v>4.3546391752577316</v>
          </cell>
          <cell r="J63">
            <v>0</v>
          </cell>
          <cell r="K63">
            <v>4.2305154639175253</v>
          </cell>
          <cell r="L63" t="str">
            <v>FWD</v>
          </cell>
          <cell r="M63" t="str">
            <v>MUN</v>
          </cell>
        </row>
        <row r="64">
          <cell r="A64" t="str">
            <v>Pervis Estupiñán</v>
          </cell>
          <cell r="B64" t="str">
            <v>Estupiñan</v>
          </cell>
          <cell r="C64" t="str">
            <v>Estupinan</v>
          </cell>
          <cell r="D64" t="str">
            <v>Pervis Estupinan</v>
          </cell>
          <cell r="E64">
            <v>4.3218847917456822</v>
          </cell>
          <cell r="F64">
            <v>3.9730740463724752</v>
          </cell>
          <cell r="G64">
            <v>3.1233787496047634</v>
          </cell>
          <cell r="H64">
            <v>4.3218847917456822</v>
          </cell>
          <cell r="I64">
            <v>3.9730740463724752</v>
          </cell>
          <cell r="J64">
            <v>3.9998915809149054</v>
          </cell>
          <cell r="K64">
            <v>4.2172415681337192</v>
          </cell>
          <cell r="L64" t="str">
            <v>DEF</v>
          </cell>
          <cell r="M64" t="str">
            <v>BHA</v>
          </cell>
        </row>
        <row r="65">
          <cell r="A65" t="str">
            <v>Manor Solomon</v>
          </cell>
          <cell r="B65" t="str">
            <v>Solomon</v>
          </cell>
          <cell r="E65">
            <v>3.4158392071657389</v>
          </cell>
          <cell r="F65">
            <v>6.0460714285714294</v>
          </cell>
          <cell r="G65">
            <v>2.1391071428571427</v>
          </cell>
          <cell r="H65">
            <v>3.4158392071657389</v>
          </cell>
          <cell r="I65">
            <v>5.9714285714285724</v>
          </cell>
          <cell r="J65">
            <v>0</v>
          </cell>
          <cell r="K65">
            <v>4.2049088735874456</v>
          </cell>
          <cell r="L65" t="str">
            <v>MID</v>
          </cell>
          <cell r="M65" t="str">
            <v>TOT</v>
          </cell>
        </row>
        <row r="66">
          <cell r="A66" t="str">
            <v>Danny Welbeck</v>
          </cell>
          <cell r="B66" t="str">
            <v>Welbeck</v>
          </cell>
          <cell r="E66">
            <v>4.3636659436008678</v>
          </cell>
          <cell r="F66">
            <v>3.8130513376717281</v>
          </cell>
          <cell r="G66">
            <v>4.5206566857846271</v>
          </cell>
          <cell r="H66">
            <v>4.3636659436008678</v>
          </cell>
          <cell r="I66">
            <v>3.7505422993492408</v>
          </cell>
          <cell r="J66">
            <v>3.8159411866235184</v>
          </cell>
          <cell r="K66">
            <v>4.1984815618221258</v>
          </cell>
          <cell r="L66" t="str">
            <v>FWD</v>
          </cell>
          <cell r="M66" t="str">
            <v>BHA</v>
          </cell>
        </row>
        <row r="67">
          <cell r="A67" t="str">
            <v>Fabian Schär</v>
          </cell>
          <cell r="B67" t="str">
            <v>Schär</v>
          </cell>
          <cell r="C67" t="str">
            <v>Schar</v>
          </cell>
          <cell r="D67" t="str">
            <v>Fabian Schar</v>
          </cell>
          <cell r="E67">
            <v>4.3445583773168206</v>
          </cell>
          <cell r="F67">
            <v>3.8574992204552543</v>
          </cell>
          <cell r="G67">
            <v>3.1248460619094423</v>
          </cell>
          <cell r="H67">
            <v>4.3445583773168206</v>
          </cell>
          <cell r="I67">
            <v>3.8574992204552543</v>
          </cell>
          <cell r="J67">
            <v>3.8029043772203428</v>
          </cell>
          <cell r="K67">
            <v>4.1984406302583501</v>
          </cell>
          <cell r="L67" t="str">
            <v>DEF</v>
          </cell>
          <cell r="M67" t="str">
            <v>NEW</v>
          </cell>
        </row>
        <row r="68">
          <cell r="A68" t="str">
            <v>Sam Surridge</v>
          </cell>
          <cell r="B68" t="str">
            <v>Surridge</v>
          </cell>
          <cell r="E68">
            <v>3.7222222222222219</v>
          </cell>
          <cell r="F68">
            <v>5.2679738562091503</v>
          </cell>
          <cell r="G68">
            <v>2.2026143790849675</v>
          </cell>
          <cell r="H68">
            <v>3.7222222222222219</v>
          </cell>
          <cell r="I68">
            <v>5.2679738562091503</v>
          </cell>
          <cell r="J68">
            <v>0</v>
          </cell>
          <cell r="K68">
            <v>4.1859477124183</v>
          </cell>
          <cell r="L68" t="str">
            <v>FWD</v>
          </cell>
          <cell r="M68" t="str">
            <v>NFO</v>
          </cell>
        </row>
        <row r="69">
          <cell r="A69" t="str">
            <v>Joe Willock</v>
          </cell>
          <cell r="B69" t="str">
            <v>Willock</v>
          </cell>
          <cell r="E69">
            <v>4.3187349679526825</v>
          </cell>
          <cell r="F69">
            <v>3.8506966530364997</v>
          </cell>
          <cell r="G69">
            <v>3.7433620461542954</v>
          </cell>
          <cell r="H69">
            <v>4.3187349679526825</v>
          </cell>
          <cell r="I69">
            <v>3.8016431924882639</v>
          </cell>
          <cell r="J69">
            <v>3.7009594260318539</v>
          </cell>
          <cell r="K69">
            <v>4.1783234734778274</v>
          </cell>
          <cell r="L69" t="str">
            <v>MID</v>
          </cell>
          <cell r="M69" t="str">
            <v>NEW</v>
          </cell>
        </row>
        <row r="70">
          <cell r="A70" t="str">
            <v>Allan Saint-Maximin</v>
          </cell>
          <cell r="B70" t="str">
            <v>Saint-Maximin</v>
          </cell>
          <cell r="E70">
            <v>4.0294561710777277</v>
          </cell>
          <cell r="F70">
            <v>4.500676284941389</v>
          </cell>
          <cell r="G70">
            <v>2.2062669071235348</v>
          </cell>
          <cell r="H70">
            <v>4.0294561710777277</v>
          </cell>
          <cell r="I70">
            <v>4.4634806131650144</v>
          </cell>
          <cell r="J70">
            <v>0</v>
          </cell>
          <cell r="K70">
            <v>4.170822205236826</v>
          </cell>
          <cell r="L70" t="str">
            <v>MID</v>
          </cell>
          <cell r="M70" t="str">
            <v>NEW</v>
          </cell>
        </row>
        <row r="71">
          <cell r="A71" t="str">
            <v>Ben Chilwell</v>
          </cell>
          <cell r="B71" t="str">
            <v>Chilwell</v>
          </cell>
          <cell r="E71">
            <v>4.1387876325841697</v>
          </cell>
          <cell r="F71">
            <v>4.2439372325249645</v>
          </cell>
          <cell r="G71">
            <v>3.0177471121388018</v>
          </cell>
          <cell r="H71">
            <v>4.1387876325841697</v>
          </cell>
          <cell r="I71">
            <v>4.2439372325249645</v>
          </cell>
          <cell r="J71">
            <v>4.1663940864234457</v>
          </cell>
          <cell r="K71">
            <v>4.1703325125664081</v>
          </cell>
          <cell r="L71" t="str">
            <v>DEF</v>
          </cell>
          <cell r="M71" t="str">
            <v>CHE</v>
          </cell>
        </row>
        <row r="72">
          <cell r="A72" t="str">
            <v>Marcus Tavernier</v>
          </cell>
          <cell r="B72" t="str">
            <v>Tavernier</v>
          </cell>
          <cell r="E72">
            <v>3.9733776381481829</v>
          </cell>
          <cell r="F72">
            <v>4.6019056261343003</v>
          </cell>
          <cell r="G72">
            <v>3.6679017903379134</v>
          </cell>
          <cell r="H72">
            <v>3.9733776381481829</v>
          </cell>
          <cell r="I72">
            <v>4.4839080459770111</v>
          </cell>
          <cell r="J72">
            <v>4.4475956290726817</v>
          </cell>
          <cell r="K72">
            <v>4.1619360345440182</v>
          </cell>
          <cell r="L72" t="str">
            <v>MID</v>
          </cell>
          <cell r="M72" t="str">
            <v>BOU</v>
          </cell>
        </row>
        <row r="73">
          <cell r="A73" t="str">
            <v>Andrew Robertson</v>
          </cell>
          <cell r="B73" t="str">
            <v>Robertson</v>
          </cell>
          <cell r="E73">
            <v>4.2312172298053881</v>
          </cell>
          <cell r="F73">
            <v>3.9410624272974015</v>
          </cell>
          <cell r="G73">
            <v>3.0996345855456946</v>
          </cell>
          <cell r="H73">
            <v>4.2312172298053881</v>
          </cell>
          <cell r="I73">
            <v>3.9410624272974015</v>
          </cell>
          <cell r="J73">
            <v>3.9078288403936674</v>
          </cell>
          <cell r="K73">
            <v>4.1441707890529917</v>
          </cell>
          <cell r="L73" t="str">
            <v>DEF</v>
          </cell>
          <cell r="M73" t="str">
            <v>LIV</v>
          </cell>
        </row>
        <row r="74">
          <cell r="A74" t="str">
            <v>Michael Keane</v>
          </cell>
          <cell r="B74" t="str">
            <v>Keane</v>
          </cell>
          <cell r="E74">
            <v>4.385134815664979</v>
          </cell>
          <cell r="F74">
            <v>3.5707019328585963</v>
          </cell>
          <cell r="G74">
            <v>2.4577822990844354</v>
          </cell>
          <cell r="H74">
            <v>4.385134815664979</v>
          </cell>
          <cell r="I74">
            <v>3.5707019328585963</v>
          </cell>
          <cell r="J74">
            <v>0</v>
          </cell>
          <cell r="K74">
            <v>4.140804950823064</v>
          </cell>
          <cell r="L74" t="str">
            <v>DEF</v>
          </cell>
          <cell r="M74" t="str">
            <v>EVE</v>
          </cell>
        </row>
        <row r="75">
          <cell r="A75" t="str">
            <v>Emiliano Buendía Stati</v>
          </cell>
          <cell r="B75" t="str">
            <v>Buendia</v>
          </cell>
          <cell r="C75" t="str">
            <v>Emi Buendía</v>
          </cell>
          <cell r="D75" t="str">
            <v>Emiliano Buendia</v>
          </cell>
          <cell r="E75">
            <v>4.2062681721823063</v>
          </cell>
          <cell r="F75">
            <v>3.9018025513033834</v>
          </cell>
          <cell r="G75">
            <v>3.9534574555538189</v>
          </cell>
          <cell r="H75">
            <v>4.2062681721823063</v>
          </cell>
          <cell r="I75">
            <v>3.8448419301164725</v>
          </cell>
          <cell r="J75">
            <v>3.8758955797329149</v>
          </cell>
          <cell r="K75">
            <v>4.1149284859186288</v>
          </cell>
          <cell r="L75" t="str">
            <v>MID</v>
          </cell>
          <cell r="M75" t="str">
            <v>AVL</v>
          </cell>
        </row>
        <row r="76">
          <cell r="A76" t="str">
            <v>Michael Olise</v>
          </cell>
          <cell r="B76" t="str">
            <v>Olise</v>
          </cell>
          <cell r="E76">
            <v>4.0463340591904498</v>
          </cell>
          <cell r="F76">
            <v>4.2025684146155022</v>
          </cell>
          <cell r="G76">
            <v>3.735423054939659</v>
          </cell>
          <cell r="H76">
            <v>4.0463340591904498</v>
          </cell>
          <cell r="I76">
            <v>4.0904119577105362</v>
          </cell>
          <cell r="J76">
            <v>4.1173273404683073</v>
          </cell>
          <cell r="K76">
            <v>4.0932043658179653</v>
          </cell>
          <cell r="L76" t="str">
            <v>MID</v>
          </cell>
          <cell r="M76" t="str">
            <v>CRY</v>
          </cell>
        </row>
        <row r="77">
          <cell r="A77" t="str">
            <v>Destiny Udogie</v>
          </cell>
          <cell r="E77">
            <v>4.0149209392833205</v>
          </cell>
          <cell r="F77">
            <v>4.26</v>
          </cell>
          <cell r="G77">
            <v>2.0499999999999998</v>
          </cell>
          <cell r="H77">
            <v>4.0149209392833205</v>
          </cell>
          <cell r="I77">
            <v>4.26</v>
          </cell>
          <cell r="J77">
            <v>0</v>
          </cell>
          <cell r="K77">
            <v>4.0884446574983242</v>
          </cell>
          <cell r="L77" t="str">
            <v>DEF</v>
          </cell>
          <cell r="M77" t="str">
            <v>TOT</v>
          </cell>
        </row>
        <row r="78">
          <cell r="A78" t="str">
            <v>Harvey Barnes</v>
          </cell>
          <cell r="B78" t="str">
            <v>Barnes</v>
          </cell>
          <cell r="E78">
            <v>3.9667522605433096</v>
          </cell>
          <cell r="F78">
            <v>4.3668639258028792</v>
          </cell>
          <cell r="G78">
            <v>1.9020521871539313</v>
          </cell>
          <cell r="H78">
            <v>3.9667522605433096</v>
          </cell>
          <cell r="I78">
            <v>4.2281284606866008</v>
          </cell>
          <cell r="J78">
            <v>0</v>
          </cell>
          <cell r="K78">
            <v>4.0867857601211801</v>
          </cell>
          <cell r="L78" t="str">
            <v>MID</v>
          </cell>
          <cell r="M78" t="str">
            <v>NEW</v>
          </cell>
        </row>
        <row r="79">
          <cell r="A79" t="str">
            <v>Luke Shaw</v>
          </cell>
          <cell r="B79" t="str">
            <v>Shaw</v>
          </cell>
          <cell r="E79">
            <v>4.0879452842184136</v>
          </cell>
          <cell r="F79">
            <v>4.0815047021943567</v>
          </cell>
          <cell r="G79">
            <v>2.9478433708958924</v>
          </cell>
          <cell r="H79">
            <v>4.0879452842184136</v>
          </cell>
          <cell r="I79">
            <v>4.0815047021943567</v>
          </cell>
          <cell r="J79">
            <v>4.0797977739646907</v>
          </cell>
          <cell r="K79">
            <v>4.086013109611196</v>
          </cell>
          <cell r="L79" t="str">
            <v>DEF</v>
          </cell>
          <cell r="M79" t="str">
            <v>MUN</v>
          </cell>
        </row>
        <row r="80">
          <cell r="A80" t="str">
            <v>William Saliba</v>
          </cell>
          <cell r="B80" t="str">
            <v>Saliba</v>
          </cell>
          <cell r="E80">
            <v>3.9746857840399286</v>
          </cell>
          <cell r="F80">
            <v>4.311801242236025</v>
          </cell>
          <cell r="G80">
            <v>2.681868639247071</v>
          </cell>
          <cell r="H80">
            <v>3.9746857840399286</v>
          </cell>
          <cell r="I80">
            <v>4.311801242236025</v>
          </cell>
          <cell r="J80">
            <v>4.3225734833605758</v>
          </cell>
          <cell r="K80">
            <v>4.075820421498757</v>
          </cell>
          <cell r="L80" t="str">
            <v>DEF</v>
          </cell>
          <cell r="M80" t="str">
            <v>ARS</v>
          </cell>
        </row>
        <row r="81">
          <cell r="A81" t="str">
            <v>Yoane Wissa</v>
          </cell>
          <cell r="B81" t="str">
            <v>Wissa</v>
          </cell>
          <cell r="E81">
            <v>3.5645380434782612</v>
          </cell>
          <cell r="F81">
            <v>5.2621396502835545</v>
          </cell>
          <cell r="G81">
            <v>3.5006829458181721</v>
          </cell>
          <cell r="H81">
            <v>3.5645380434782612</v>
          </cell>
          <cell r="I81">
            <v>5.2457466918714557</v>
          </cell>
          <cell r="J81">
            <v>5.1552446549124999</v>
          </cell>
          <cell r="K81">
            <v>4.0738185255198491</v>
          </cell>
          <cell r="L81" t="str">
            <v>FWD</v>
          </cell>
          <cell r="M81" t="str">
            <v>BRE</v>
          </cell>
        </row>
        <row r="82">
          <cell r="A82" t="str">
            <v>Elliot Anderson</v>
          </cell>
          <cell r="B82" t="str">
            <v>Anderson</v>
          </cell>
          <cell r="E82">
            <v>3.9303196228663042</v>
          </cell>
          <cell r="F82">
            <v>4.4050632911392409</v>
          </cell>
          <cell r="G82">
            <v>2.2936708860759492</v>
          </cell>
          <cell r="H82">
            <v>3.9303196228663042</v>
          </cell>
          <cell r="I82">
            <v>4.4050632911392409</v>
          </cell>
          <cell r="J82">
            <v>0</v>
          </cell>
          <cell r="K82">
            <v>4.0727427233481848</v>
          </cell>
          <cell r="L82" t="str">
            <v>MID</v>
          </cell>
          <cell r="M82" t="str">
            <v>NEW</v>
          </cell>
        </row>
        <row r="83">
          <cell r="A83" t="str">
            <v>Moussa Diaby</v>
          </cell>
          <cell r="E83">
            <v>4.0678406189078427</v>
          </cell>
          <cell r="F83">
            <v>4.0666666666666664</v>
          </cell>
          <cell r="G83">
            <v>2.4</v>
          </cell>
          <cell r="H83">
            <v>4.0678406189078427</v>
          </cell>
          <cell r="I83">
            <v>4</v>
          </cell>
          <cell r="J83">
            <v>0</v>
          </cell>
          <cell r="K83">
            <v>4.0674884332354893</v>
          </cell>
          <cell r="L83" t="str">
            <v>MID</v>
          </cell>
          <cell r="M83" t="str">
            <v>AVL</v>
          </cell>
        </row>
        <row r="84">
          <cell r="A84" t="str">
            <v>Benjamin White</v>
          </cell>
          <cell r="B84" t="str">
            <v>White</v>
          </cell>
          <cell r="C84" t="str">
            <v>B White</v>
          </cell>
          <cell r="D84" t="str">
            <v>Ben White</v>
          </cell>
          <cell r="E84">
            <v>3.9923165578780284</v>
          </cell>
          <cell r="F84">
            <v>4.2396856581532418</v>
          </cell>
          <cell r="G84">
            <v>2.6491435822891432</v>
          </cell>
          <cell r="H84">
            <v>3.9923165578780284</v>
          </cell>
          <cell r="I84">
            <v>4.2396856581532418</v>
          </cell>
          <cell r="J84">
            <v>4.2488864788353862</v>
          </cell>
          <cell r="K84">
            <v>4.066527287960592</v>
          </cell>
          <cell r="L84" t="str">
            <v>DEF</v>
          </cell>
          <cell r="M84" t="str">
            <v>ARS</v>
          </cell>
        </row>
        <row r="85">
          <cell r="A85" t="str">
            <v>Morgan Gibbs-White</v>
          </cell>
          <cell r="B85" t="str">
            <v>Gibbs-White</v>
          </cell>
          <cell r="E85">
            <v>4.0002267703438443</v>
          </cell>
          <cell r="F85">
            <v>4.1565656094237111</v>
          </cell>
          <cell r="G85">
            <v>2.1783299419418674</v>
          </cell>
          <cell r="H85">
            <v>4.0002267703438443</v>
          </cell>
          <cell r="I85">
            <v>4.0034909552523006</v>
          </cell>
          <cell r="J85">
            <v>0</v>
          </cell>
          <cell r="K85">
            <v>4.0471284220678045</v>
          </cell>
          <cell r="L85" t="str">
            <v>MID</v>
          </cell>
          <cell r="M85" t="str">
            <v>NFO</v>
          </cell>
        </row>
        <row r="86">
          <cell r="A86" t="str">
            <v>Christian Eriksen</v>
          </cell>
          <cell r="B86" t="str">
            <v>Eriksen</v>
          </cell>
          <cell r="E86">
            <v>4.0016784068925428</v>
          </cell>
          <cell r="F86">
            <v>4.0837536656891489</v>
          </cell>
          <cell r="G86">
            <v>3.708723602632868</v>
          </cell>
          <cell r="H86">
            <v>4.0016784068925428</v>
          </cell>
          <cell r="I86">
            <v>4.0273704789833813</v>
          </cell>
          <cell r="J86">
            <v>4.0448023766447383</v>
          </cell>
          <cell r="K86">
            <v>4.0263009845315239</v>
          </cell>
          <cell r="L86" t="str">
            <v>MID</v>
          </cell>
          <cell r="M86" t="str">
            <v>MUN</v>
          </cell>
        </row>
        <row r="87">
          <cell r="A87" t="str">
            <v>Virgil van Dijk</v>
          </cell>
          <cell r="B87" t="str">
            <v>Virgil</v>
          </cell>
          <cell r="E87">
            <v>4.0327424930037781</v>
          </cell>
          <cell r="F87">
            <v>3.9869488536155204</v>
          </cell>
          <cell r="G87">
            <v>2.9283396848602985</v>
          </cell>
          <cell r="H87">
            <v>4.0327424930037781</v>
          </cell>
          <cell r="I87">
            <v>3.9869488536155204</v>
          </cell>
          <cell r="J87">
            <v>3.9594598904669089</v>
          </cell>
          <cell r="K87">
            <v>4.019004401187301</v>
          </cell>
          <cell r="L87" t="str">
            <v>DEF</v>
          </cell>
          <cell r="M87" t="str">
            <v>LIV</v>
          </cell>
        </row>
        <row r="88">
          <cell r="A88" t="str">
            <v>Emerson Leite de Souza Junior</v>
          </cell>
          <cell r="B88" t="str">
            <v>E.Royal</v>
          </cell>
          <cell r="C88" t="str">
            <v>Emerson R</v>
          </cell>
          <cell r="D88" t="str">
            <v>Emerson</v>
          </cell>
          <cell r="E88">
            <v>3.9906869536876255</v>
          </cell>
          <cell r="F88">
            <v>4.0786581839213412</v>
          </cell>
          <cell r="G88">
            <v>2.902094291601315</v>
          </cell>
          <cell r="H88">
            <v>3.9906869536876255</v>
          </cell>
          <cell r="I88">
            <v>4.0786581839213412</v>
          </cell>
          <cell r="J88">
            <v>4.0521482974063412</v>
          </cell>
          <cell r="K88">
            <v>4.0170783227577402</v>
          </cell>
          <cell r="L88" t="str">
            <v>DEF</v>
          </cell>
          <cell r="M88" t="str">
            <v>TOT</v>
          </cell>
        </row>
        <row r="89">
          <cell r="A89" t="str">
            <v>Jacob Ramsey</v>
          </cell>
          <cell r="B89" t="str">
            <v>J.Ramsey</v>
          </cell>
          <cell r="E89">
            <v>3.8821989639037349</v>
          </cell>
          <cell r="F89">
            <v>4.3111911235211995</v>
          </cell>
          <cell r="G89">
            <v>3.6036440840998201</v>
          </cell>
          <cell r="H89">
            <v>3.8821989639037349</v>
          </cell>
          <cell r="I89">
            <v>4.2027334851936216</v>
          </cell>
          <cell r="J89">
            <v>4.2475513082022207</v>
          </cell>
          <cell r="K89">
            <v>4.0108966117889739</v>
          </cell>
          <cell r="L89" t="str">
            <v>MID</v>
          </cell>
          <cell r="M89" t="str">
            <v>AVL</v>
          </cell>
        </row>
        <row r="90">
          <cell r="A90" t="str">
            <v>Dominic Solanke</v>
          </cell>
          <cell r="B90" t="str">
            <v>Solanke</v>
          </cell>
          <cell r="E90">
            <v>3.9556099476439792</v>
          </cell>
          <cell r="F90">
            <v>4.1115619546247819</v>
          </cell>
          <cell r="G90">
            <v>3.8231984462937447</v>
          </cell>
          <cell r="H90">
            <v>3.9556099476439792</v>
          </cell>
          <cell r="I90">
            <v>3.9930191972076789</v>
          </cell>
          <cell r="J90">
            <v>3.9744471578947365</v>
          </cell>
          <cell r="K90">
            <v>4.0023955497382202</v>
          </cell>
          <cell r="L90" t="str">
            <v>FWD</v>
          </cell>
          <cell r="M90" t="str">
            <v>BOU</v>
          </cell>
        </row>
        <row r="91">
          <cell r="A91" t="str">
            <v>Brennan Johnson</v>
          </cell>
          <cell r="B91" t="str">
            <v>Johnson</v>
          </cell>
          <cell r="E91">
            <v>4.1249737852741051</v>
          </cell>
          <cell r="F91">
            <v>3.6948246974868133</v>
          </cell>
          <cell r="G91">
            <v>3.8027251025446454</v>
          </cell>
          <cell r="H91">
            <v>4.1249737852741051</v>
          </cell>
          <cell r="I91">
            <v>3.580887372013652</v>
          </cell>
          <cell r="J91">
            <v>3.5667116033437396</v>
          </cell>
          <cell r="K91">
            <v>3.9959290589379171</v>
          </cell>
          <cell r="L91" t="str">
            <v>MID</v>
          </cell>
          <cell r="M91" t="str">
            <v>NFO</v>
          </cell>
        </row>
        <row r="92">
          <cell r="A92" t="str">
            <v>Dwight McNeil</v>
          </cell>
          <cell r="B92" t="str">
            <v>McNeil</v>
          </cell>
          <cell r="E92">
            <v>3.8355486077922443</v>
          </cell>
          <cell r="F92">
            <v>4.3425000000000002</v>
          </cell>
          <cell r="G92">
            <v>3.6614100269328254</v>
          </cell>
          <cell r="H92">
            <v>3.8355486077922443</v>
          </cell>
          <cell r="I92">
            <v>4.2</v>
          </cell>
          <cell r="J92">
            <v>4.2932207512536351</v>
          </cell>
          <cell r="K92">
            <v>3.9876340254545708</v>
          </cell>
          <cell r="L92" t="str">
            <v>MID</v>
          </cell>
          <cell r="M92" t="str">
            <v>EVE</v>
          </cell>
        </row>
        <row r="93">
          <cell r="A93" t="str">
            <v>Matt Doherty</v>
          </cell>
          <cell r="B93" t="str">
            <v>Doherty</v>
          </cell>
          <cell r="E93">
            <v>3.837904276895455</v>
          </cell>
          <cell r="F93">
            <v>4.328808446455505</v>
          </cell>
          <cell r="G93">
            <v>2.2473604826546003</v>
          </cell>
          <cell r="H93">
            <v>3.837904276895455</v>
          </cell>
          <cell r="I93">
            <v>4.328808446455505</v>
          </cell>
          <cell r="J93">
            <v>0</v>
          </cell>
          <cell r="K93">
            <v>3.9851755277634697</v>
          </cell>
          <cell r="L93" t="str">
            <v>DEF</v>
          </cell>
          <cell r="M93" t="str">
            <v>WOL</v>
          </cell>
        </row>
        <row r="94">
          <cell r="A94" t="str">
            <v>Granit Xhaka</v>
          </cell>
          <cell r="B94" t="str">
            <v>Xhaka</v>
          </cell>
          <cell r="E94">
            <v>3.7773546560429785</v>
          </cell>
          <cell r="F94">
            <v>4.3857954545454545</v>
          </cell>
          <cell r="G94">
            <v>3.3626047037190712</v>
          </cell>
          <cell r="H94">
            <v>3.7773546560429785</v>
          </cell>
          <cell r="I94">
            <v>4.2443181818181825</v>
          </cell>
          <cell r="J94">
            <v>4.2272781886858857</v>
          </cell>
          <cell r="K94">
            <v>3.959886895593721</v>
          </cell>
          <cell r="L94" t="str">
            <v>MID</v>
          </cell>
          <cell r="M94" t="str">
            <v>ARS</v>
          </cell>
        </row>
        <row r="95">
          <cell r="A95" t="str">
            <v>Levi Colwill</v>
          </cell>
          <cell r="B95" t="str">
            <v>Colwill</v>
          </cell>
          <cell r="E95">
            <v>4.2296279499568472</v>
          </cell>
          <cell r="F95">
            <v>3.3234811165845644</v>
          </cell>
          <cell r="G95">
            <v>3.119470076820873</v>
          </cell>
          <cell r="H95">
            <v>4.2296279499568472</v>
          </cell>
          <cell r="I95">
            <v>3.3234811165845644</v>
          </cell>
          <cell r="J95">
            <v>3.271347716307162</v>
          </cell>
          <cell r="K95">
            <v>3.957783899945162</v>
          </cell>
          <cell r="L95" t="str">
            <v>DEF</v>
          </cell>
          <cell r="M95" t="str">
            <v>CHE</v>
          </cell>
        </row>
        <row r="96">
          <cell r="A96" t="str">
            <v>Oleksandr Zinchenko</v>
          </cell>
          <cell r="B96" t="str">
            <v>Zinchenko</v>
          </cell>
          <cell r="E96">
            <v>4.0309541819988635</v>
          </cell>
          <cell r="F96">
            <v>3.7789820923656925</v>
          </cell>
          <cell r="G96">
            <v>2.6631845301366228</v>
          </cell>
          <cell r="H96">
            <v>4.0309541819988635</v>
          </cell>
          <cell r="I96">
            <v>3.7789820923656925</v>
          </cell>
          <cell r="J96">
            <v>3.795577900998957</v>
          </cell>
          <cell r="K96">
            <v>3.9553625551089118</v>
          </cell>
          <cell r="L96" t="str">
            <v>DEF</v>
          </cell>
          <cell r="M96" t="str">
            <v>ARS</v>
          </cell>
        </row>
        <row r="97">
          <cell r="A97" t="str">
            <v>Jacob Murphy</v>
          </cell>
          <cell r="B97" t="str">
            <v>Murphy</v>
          </cell>
          <cell r="E97">
            <v>3.8032083555914316</v>
          </cell>
          <cell r="F97">
            <v>4.263954703832753</v>
          </cell>
          <cell r="G97">
            <v>3.2717800447125951</v>
          </cell>
          <cell r="H97">
            <v>3.8032083555914316</v>
          </cell>
          <cell r="I97">
            <v>4.2487804878048783</v>
          </cell>
          <cell r="J97">
            <v>4.0700032593714539</v>
          </cell>
          <cell r="K97">
            <v>3.9414322600638276</v>
          </cell>
          <cell r="L97" t="str">
            <v>MID</v>
          </cell>
          <cell r="M97" t="str">
            <v>NEW</v>
          </cell>
        </row>
        <row r="98">
          <cell r="A98" t="str">
            <v>Konstantinos Tsimikas</v>
          </cell>
          <cell r="B98" t="str">
            <v>Tsimikas</v>
          </cell>
          <cell r="C98" t="str">
            <v>Kostas Tsimikas</v>
          </cell>
          <cell r="E98">
            <v>3.8161791200725315</v>
          </cell>
          <cell r="F98">
            <v>4.2204724409448815</v>
          </cell>
          <cell r="G98">
            <v>1.9062117235345581</v>
          </cell>
          <cell r="H98">
            <v>3.8161791200725315</v>
          </cell>
          <cell r="I98">
            <v>4.2204724409448815</v>
          </cell>
          <cell r="J98">
            <v>0</v>
          </cell>
          <cell r="K98">
            <v>3.9374671163342363</v>
          </cell>
          <cell r="L98" t="str">
            <v>DEF</v>
          </cell>
          <cell r="M98" t="str">
            <v>LIV</v>
          </cell>
        </row>
        <row r="99">
          <cell r="A99" t="str">
            <v>Matt Targett</v>
          </cell>
          <cell r="B99" t="str">
            <v>Targett</v>
          </cell>
          <cell r="E99">
            <v>3.5553238495923791</v>
          </cell>
          <cell r="F99">
            <v>4.7833333333333332</v>
          </cell>
          <cell r="G99">
            <v>2.1298333333333335</v>
          </cell>
          <cell r="H99">
            <v>3.5553238495923791</v>
          </cell>
          <cell r="I99">
            <v>4.7833333333333332</v>
          </cell>
          <cell r="J99">
            <v>0</v>
          </cell>
          <cell r="K99">
            <v>3.9237266947146647</v>
          </cell>
          <cell r="L99" t="str">
            <v>DEF</v>
          </cell>
          <cell r="M99" t="str">
            <v>NEW</v>
          </cell>
        </row>
        <row r="100">
          <cell r="A100" t="str">
            <v>Aymeric Laporte</v>
          </cell>
          <cell r="B100" t="str">
            <v>Laporte</v>
          </cell>
          <cell r="E100">
            <v>4.0584970959015045</v>
          </cell>
          <cell r="F100">
            <v>3.588709677419355</v>
          </cell>
          <cell r="G100">
            <v>2.2691532258064515</v>
          </cell>
          <cell r="H100">
            <v>4.0584970959015045</v>
          </cell>
          <cell r="I100">
            <v>3.588709677419355</v>
          </cell>
          <cell r="J100">
            <v>0</v>
          </cell>
          <cell r="K100">
            <v>3.9175608703568594</v>
          </cell>
          <cell r="L100" t="str">
            <v>DEF</v>
          </cell>
          <cell r="M100" t="str">
            <v>MCI</v>
          </cell>
        </row>
        <row r="101">
          <cell r="A101" t="str">
            <v>Ben Mee</v>
          </cell>
          <cell r="B101" t="str">
            <v>Mee</v>
          </cell>
          <cell r="E101">
            <v>3.9326250004667052</v>
          </cell>
          <cell r="F101">
            <v>3.8494952584888349</v>
          </cell>
          <cell r="G101">
            <v>2.8493411180871893</v>
          </cell>
          <cell r="H101">
            <v>3.9326250004667052</v>
          </cell>
          <cell r="I101">
            <v>3.8494952584888349</v>
          </cell>
          <cell r="J101">
            <v>3.8516943333065017</v>
          </cell>
          <cell r="K101">
            <v>3.9076860778733438</v>
          </cell>
          <cell r="L101" t="str">
            <v>DEF</v>
          </cell>
          <cell r="M101" t="str">
            <v>BRE</v>
          </cell>
        </row>
        <row r="102">
          <cell r="A102" t="str">
            <v>Dean Henderson</v>
          </cell>
          <cell r="B102" t="str">
            <v>Henderson</v>
          </cell>
          <cell r="C102" t="str">
            <v>D Henderson</v>
          </cell>
          <cell r="E102">
            <v>3.6161109672027476</v>
          </cell>
          <cell r="F102">
            <v>4.5555555555555554</v>
          </cell>
          <cell r="G102">
            <v>2.5444444444444447</v>
          </cell>
          <cell r="H102">
            <v>3.6161109672027476</v>
          </cell>
          <cell r="I102">
            <v>4.5555555555555554</v>
          </cell>
          <cell r="J102">
            <v>4.5536503742690044</v>
          </cell>
          <cell r="K102">
            <v>3.8979443437085894</v>
          </cell>
          <cell r="L102" t="str">
            <v>GK</v>
          </cell>
          <cell r="M102" t="str">
            <v>MUN</v>
          </cell>
        </row>
        <row r="103">
          <cell r="A103" t="str">
            <v>Aaron Wan-Bissaka</v>
          </cell>
          <cell r="B103" t="str">
            <v>Wan-Bissaka</v>
          </cell>
          <cell r="E103">
            <v>3.819245791469311</v>
          </cell>
          <cell r="F103">
            <v>4.0705307262569832</v>
          </cell>
          <cell r="G103">
            <v>2.6713313751147183</v>
          </cell>
          <cell r="H103">
            <v>3.819245791469311</v>
          </cell>
          <cell r="I103">
            <v>4.0705307262569832</v>
          </cell>
          <cell r="J103">
            <v>4.0603221260223723</v>
          </cell>
          <cell r="K103">
            <v>3.8946312719056122</v>
          </cell>
          <cell r="L103" t="str">
            <v>DEF</v>
          </cell>
          <cell r="M103" t="str">
            <v>MUN</v>
          </cell>
        </row>
        <row r="104">
          <cell r="A104" t="str">
            <v>Antony Matheus dos Santos</v>
          </cell>
          <cell r="B104" t="str">
            <v>Antony</v>
          </cell>
          <cell r="E104">
            <v>4.0502589765041632</v>
          </cell>
          <cell r="F104">
            <v>3.5015457329571493</v>
          </cell>
          <cell r="G104">
            <v>3.7621556997169114</v>
          </cell>
          <cell r="H104">
            <v>4.0502589765041632</v>
          </cell>
          <cell r="I104">
            <v>3.4564614531336662</v>
          </cell>
          <cell r="J104">
            <v>3.4767439378468383</v>
          </cell>
          <cell r="K104">
            <v>3.8856450034400587</v>
          </cell>
          <cell r="L104" t="str">
            <v>MID</v>
          </cell>
          <cell r="M104" t="str">
            <v>MUN</v>
          </cell>
        </row>
        <row r="105">
          <cell r="A105" t="str">
            <v>Reece James</v>
          </cell>
          <cell r="B105" t="str">
            <v>James</v>
          </cell>
          <cell r="C105" t="str">
            <v>R James</v>
          </cell>
          <cell r="E105">
            <v>4.2569159126347866</v>
          </cell>
          <cell r="F105">
            <v>3.0112721417069244</v>
          </cell>
          <cell r="G105">
            <v>3.1419967934081354</v>
          </cell>
          <cell r="H105">
            <v>4.2569159126347866</v>
          </cell>
          <cell r="I105">
            <v>3.0112721417069244</v>
          </cell>
          <cell r="J105">
            <v>2.9641300693856834</v>
          </cell>
          <cell r="K105">
            <v>3.883222781356428</v>
          </cell>
          <cell r="L105" t="str">
            <v>DEF</v>
          </cell>
          <cell r="M105" t="str">
            <v>CHE</v>
          </cell>
        </row>
        <row r="106">
          <cell r="A106" t="str">
            <v>Kurt Zouma</v>
          </cell>
          <cell r="B106" t="str">
            <v>Zouma</v>
          </cell>
          <cell r="E106">
            <v>3.9656330508879103</v>
          </cell>
          <cell r="F106">
            <v>3.629778672032193</v>
          </cell>
          <cell r="G106">
            <v>2.8365714463154261</v>
          </cell>
          <cell r="H106">
            <v>3.9656330508879103</v>
          </cell>
          <cell r="I106">
            <v>3.629778672032193</v>
          </cell>
          <cell r="J106">
            <v>3.6930991925061516</v>
          </cell>
          <cell r="K106">
            <v>3.864876737231195</v>
          </cell>
          <cell r="L106" t="str">
            <v>DEF</v>
          </cell>
          <cell r="M106" t="str">
            <v>WHU</v>
          </cell>
        </row>
        <row r="107">
          <cell r="A107" t="str">
            <v>Ethan Pinnock</v>
          </cell>
          <cell r="B107" t="str">
            <v>Pinnock</v>
          </cell>
          <cell r="E107">
            <v>3.9199777319526188</v>
          </cell>
          <cell r="F107">
            <v>3.7333333333333334</v>
          </cell>
          <cell r="G107">
            <v>2.8381719578947355</v>
          </cell>
          <cell r="H107">
            <v>3.9199777319526188</v>
          </cell>
          <cell r="I107">
            <v>3.7333333333333334</v>
          </cell>
          <cell r="J107">
            <v>3.7354660491228087</v>
          </cell>
          <cell r="K107">
            <v>3.8639844123668325</v>
          </cell>
          <cell r="L107" t="str">
            <v>DEF</v>
          </cell>
          <cell r="M107" t="str">
            <v>BRE</v>
          </cell>
        </row>
        <row r="108">
          <cell r="A108" t="str">
            <v>Sven Botman</v>
          </cell>
          <cell r="B108" t="str">
            <v>Botman</v>
          </cell>
          <cell r="E108">
            <v>3.9208859089101953</v>
          </cell>
          <cell r="F108">
            <v>3.671570195075152</v>
          </cell>
          <cell r="G108">
            <v>2.7147567228432452</v>
          </cell>
          <cell r="H108">
            <v>3.9208859089101953</v>
          </cell>
          <cell r="I108">
            <v>3.671570195075152</v>
          </cell>
          <cell r="J108">
            <v>3.6184781306111451</v>
          </cell>
          <cell r="K108">
            <v>3.8460911947596821</v>
          </cell>
          <cell r="L108" t="str">
            <v>DEF</v>
          </cell>
          <cell r="M108" t="str">
            <v>NEW</v>
          </cell>
        </row>
        <row r="109">
          <cell r="A109" t="str">
            <v>Andreas Hoelgebaum Pereira</v>
          </cell>
          <cell r="B109" t="str">
            <v>Andreas</v>
          </cell>
          <cell r="C109" t="str">
            <v>A Pereira</v>
          </cell>
          <cell r="D109" t="str">
            <v>Andreas Pereira</v>
          </cell>
          <cell r="E109">
            <v>3.8498429379373031</v>
          </cell>
          <cell r="F109">
            <v>3.7807762341516051</v>
          </cell>
          <cell r="G109">
            <v>3.5804706427384834</v>
          </cell>
          <cell r="H109">
            <v>3.8498429379373031</v>
          </cell>
          <cell r="I109">
            <v>3.7410979228486645</v>
          </cell>
          <cell r="J109">
            <v>3.7289086505044193</v>
          </cell>
          <cell r="K109">
            <v>3.8291229268015936</v>
          </cell>
          <cell r="L109" t="str">
            <v>MID</v>
          </cell>
          <cell r="M109" t="str">
            <v>FUL</v>
          </cell>
        </row>
        <row r="110">
          <cell r="A110" t="str">
            <v>Danny Ings</v>
          </cell>
          <cell r="B110" t="str">
            <v>Ings</v>
          </cell>
          <cell r="E110">
            <v>3.370152899665249</v>
          </cell>
          <cell r="F110">
            <v>4.8877363611689129</v>
          </cell>
          <cell r="G110">
            <v>2.6089568442956663</v>
          </cell>
          <cell r="H110">
            <v>3.370152899665249</v>
          </cell>
          <cell r="I110">
            <v>4.8530715642811906</v>
          </cell>
          <cell r="J110">
            <v>0</v>
          </cell>
          <cell r="K110">
            <v>3.8254279381163481</v>
          </cell>
          <cell r="L110" t="str">
            <v>FWD</v>
          </cell>
          <cell r="M110" t="str">
            <v>WHU</v>
          </cell>
        </row>
        <row r="111">
          <cell r="A111" t="str">
            <v>Abdoulaye Doucouré</v>
          </cell>
          <cell r="B111" t="str">
            <v>A.Doucoure</v>
          </cell>
          <cell r="C111" t="str">
            <v>A.DOUCOURE</v>
          </cell>
          <cell r="E111">
            <v>3.5827409669836516</v>
          </cell>
          <cell r="F111">
            <v>4.3528949497284177</v>
          </cell>
          <cell r="G111">
            <v>3.3871793998865662</v>
          </cell>
          <cell r="H111">
            <v>3.5827409669836516</v>
          </cell>
          <cell r="I111">
            <v>4.1807465618860515</v>
          </cell>
          <cell r="J111">
            <v>4.270490301369863</v>
          </cell>
          <cell r="K111">
            <v>3.8137871618070811</v>
          </cell>
          <cell r="L111" t="str">
            <v>MID</v>
          </cell>
          <cell r="M111" t="str">
            <v>EVE</v>
          </cell>
        </row>
        <row r="112">
          <cell r="A112" t="str">
            <v>Joelinton Cássio Apolinário de Lira</v>
          </cell>
          <cell r="B112" t="str">
            <v>Joelinton</v>
          </cell>
          <cell r="E112">
            <v>3.7444247172680027</v>
          </cell>
          <cell r="F112">
            <v>3.917998120300751</v>
          </cell>
          <cell r="G112">
            <v>3.1456392597841916</v>
          </cell>
          <cell r="H112">
            <v>3.7444247172680027</v>
          </cell>
          <cell r="I112">
            <v>3.7612781954887216</v>
          </cell>
          <cell r="J112">
            <v>3.6631514935026441</v>
          </cell>
          <cell r="K112">
            <v>3.7964967381778272</v>
          </cell>
          <cell r="L112" t="str">
            <v>MID</v>
          </cell>
          <cell r="M112" t="str">
            <v>NEW</v>
          </cell>
        </row>
        <row r="113">
          <cell r="A113" t="str">
            <v>Jason Steele</v>
          </cell>
          <cell r="B113" t="str">
            <v>Steele</v>
          </cell>
          <cell r="E113">
            <v>3.5558083993277521</v>
          </cell>
          <cell r="F113">
            <v>4.333333333333333</v>
          </cell>
          <cell r="G113">
            <v>2.4792873684210526</v>
          </cell>
          <cell r="H113">
            <v>3.5558083993277521</v>
          </cell>
          <cell r="I113">
            <v>4.333333333333333</v>
          </cell>
          <cell r="J113">
            <v>4.3642140350877199</v>
          </cell>
          <cell r="K113">
            <v>3.7890658795294261</v>
          </cell>
          <cell r="L113" t="str">
            <v>GK</v>
          </cell>
          <cell r="M113" t="str">
            <v>BHA</v>
          </cell>
        </row>
        <row r="114">
          <cell r="A114" t="str">
            <v>David Raya Martin</v>
          </cell>
          <cell r="B114" t="str">
            <v>Raya</v>
          </cell>
          <cell r="C114" t="str">
            <v>David Raya</v>
          </cell>
          <cell r="E114">
            <v>3.5393987845841974</v>
          </cell>
          <cell r="F114">
            <v>4.3684210526315788</v>
          </cell>
          <cell r="G114">
            <v>2.5209849819944594</v>
          </cell>
          <cell r="H114">
            <v>3.5393987845841974</v>
          </cell>
          <cell r="I114">
            <v>4.3684210526315788</v>
          </cell>
          <cell r="J114">
            <v>4.3709165706371209</v>
          </cell>
          <cell r="K114">
            <v>3.7881054649984116</v>
          </cell>
          <cell r="L114" t="str">
            <v>GK</v>
          </cell>
          <cell r="M114" t="str">
            <v>BRE</v>
          </cell>
        </row>
        <row r="115">
          <cell r="A115" t="str">
            <v>Leon Bailey</v>
          </cell>
          <cell r="B115" t="str">
            <v>Bailey</v>
          </cell>
          <cell r="E115">
            <v>3.8588514119834842</v>
          </cell>
          <cell r="F115">
            <v>3.5915713614287954</v>
          </cell>
          <cell r="G115">
            <v>3.6223748439560906</v>
          </cell>
          <cell r="H115">
            <v>3.8588514119834842</v>
          </cell>
          <cell r="I115">
            <v>3.5641547861507132</v>
          </cell>
          <cell r="J115">
            <v>3.5993998876194047</v>
          </cell>
          <cell r="K115">
            <v>3.7786673968170774</v>
          </cell>
          <cell r="L115" t="str">
            <v>MID</v>
          </cell>
          <cell r="M115" t="str">
            <v>AVL</v>
          </cell>
        </row>
        <row r="116">
          <cell r="A116" t="str">
            <v>Chris Richards</v>
          </cell>
          <cell r="B116" t="str">
            <v>C.Richards</v>
          </cell>
          <cell r="C116" t="str">
            <v>C Richards</v>
          </cell>
          <cell r="E116">
            <v>4.260658803494465</v>
          </cell>
          <cell r="F116">
            <v>2.6410835214446955</v>
          </cell>
          <cell r="G116">
            <v>2</v>
          </cell>
          <cell r="H116">
            <v>4.260658803494465</v>
          </cell>
          <cell r="I116">
            <v>2.6410835214446955</v>
          </cell>
          <cell r="J116">
            <v>0</v>
          </cell>
          <cell r="K116">
            <v>3.7747862188795338</v>
          </cell>
          <cell r="L116" t="str">
            <v>DEF</v>
          </cell>
          <cell r="M116" t="str">
            <v>CRY</v>
          </cell>
        </row>
        <row r="117">
          <cell r="A117" t="str">
            <v>Chris Wood</v>
          </cell>
          <cell r="B117" t="str">
            <v>Wood</v>
          </cell>
          <cell r="E117">
            <v>3.3472118959107808</v>
          </cell>
          <cell r="F117">
            <v>4.7286245353159853</v>
          </cell>
          <cell r="G117">
            <v>2.6245353159851303</v>
          </cell>
          <cell r="H117">
            <v>3.3472118959107808</v>
          </cell>
          <cell r="I117">
            <v>4.7286245353159853</v>
          </cell>
          <cell r="J117">
            <v>0</v>
          </cell>
          <cell r="K117">
            <v>3.7616356877323422</v>
          </cell>
          <cell r="L117" t="str">
            <v>FWD</v>
          </cell>
          <cell r="M117" t="str">
            <v>NFO</v>
          </cell>
        </row>
        <row r="118">
          <cell r="A118" t="str">
            <v>Rúben Gato Alves Dias</v>
          </cell>
          <cell r="B118" t="str">
            <v>Rúben</v>
          </cell>
          <cell r="C118" t="str">
            <v>Ruben Dias</v>
          </cell>
          <cell r="D118" t="str">
            <v>Rúben Dias</v>
          </cell>
          <cell r="E118">
            <v>3.8591296734013736</v>
          </cell>
          <cell r="F118">
            <v>3.4852278417626441</v>
          </cell>
          <cell r="G118">
            <v>2.3526585612907915</v>
          </cell>
          <cell r="H118">
            <v>3.8591296734013736</v>
          </cell>
          <cell r="I118">
            <v>3.4852278417626441</v>
          </cell>
          <cell r="J118">
            <v>3.4283857752489335</v>
          </cell>
          <cell r="K118">
            <v>3.7469591239097544</v>
          </cell>
          <cell r="L118" t="str">
            <v>DEF</v>
          </cell>
          <cell r="M118" t="str">
            <v>MCI</v>
          </cell>
        </row>
        <row r="119">
          <cell r="A119" t="str">
            <v>Ryan Sessegnon</v>
          </cell>
          <cell r="B119" t="str">
            <v>Sessegnon</v>
          </cell>
          <cell r="C119" t="str">
            <v>Sessegnon</v>
          </cell>
          <cell r="E119">
            <v>3.9480676398635337</v>
          </cell>
          <cell r="F119">
            <v>3.2608695652173916</v>
          </cell>
          <cell r="G119">
            <v>1.6149068322981366</v>
          </cell>
          <cell r="H119">
            <v>3.9480676398635337</v>
          </cell>
          <cell r="I119">
            <v>3.2608695652173916</v>
          </cell>
          <cell r="J119">
            <v>0</v>
          </cell>
          <cell r="K119">
            <v>3.7419082174696907</v>
          </cell>
          <cell r="L119" t="str">
            <v>DEF</v>
          </cell>
          <cell r="M119" t="str">
            <v>TOT</v>
          </cell>
        </row>
        <row r="120">
          <cell r="A120" t="str">
            <v>Nayef Aguerd</v>
          </cell>
          <cell r="B120" t="str">
            <v>N.Aguerd</v>
          </cell>
          <cell r="E120">
            <v>3.9554463622932445</v>
          </cell>
          <cell r="F120">
            <v>3.2383939774153077</v>
          </cell>
          <cell r="G120">
            <v>2.7814208872286952</v>
          </cell>
          <cell r="H120">
            <v>3.9554463622932445</v>
          </cell>
          <cell r="I120">
            <v>3.2383939774153077</v>
          </cell>
          <cell r="J120">
            <v>3.2944774851674632</v>
          </cell>
          <cell r="K120">
            <v>3.7403306468298636</v>
          </cell>
          <cell r="L120" t="str">
            <v>DEF</v>
          </cell>
          <cell r="M120" t="str">
            <v>WHU</v>
          </cell>
        </row>
        <row r="121">
          <cell r="A121" t="str">
            <v>Alisson Ramses Becker</v>
          </cell>
          <cell r="B121" t="str">
            <v>Alisson</v>
          </cell>
          <cell r="E121">
            <v>3.4655314489129374</v>
          </cell>
          <cell r="F121">
            <v>4.378378378378379</v>
          </cell>
          <cell r="G121">
            <v>2.4008385490753912</v>
          </cell>
          <cell r="H121">
            <v>3.4655314489129374</v>
          </cell>
          <cell r="I121">
            <v>4.378378378378379</v>
          </cell>
          <cell r="J121">
            <v>4.3481906116642977</v>
          </cell>
          <cell r="K121">
            <v>3.73938552775257</v>
          </cell>
          <cell r="L121" t="str">
            <v>GK</v>
          </cell>
          <cell r="M121" t="str">
            <v>LIV</v>
          </cell>
        </row>
        <row r="122">
          <cell r="A122" t="str">
            <v>Douglas Luiz Soares de Paulo</v>
          </cell>
          <cell r="B122" t="str">
            <v>Douglas Luiz</v>
          </cell>
          <cell r="E122">
            <v>3.481810005335972</v>
          </cell>
          <cell r="F122">
            <v>4.3249725177856604</v>
          </cell>
          <cell r="G122">
            <v>3.1911739647870556</v>
          </cell>
          <cell r="H122">
            <v>3.481810005335972</v>
          </cell>
          <cell r="I122">
            <v>4.1793292265571536</v>
          </cell>
          <cell r="J122">
            <v>4.2198837960908433</v>
          </cell>
          <cell r="K122">
            <v>3.7347587590708784</v>
          </cell>
          <cell r="L122" t="str">
            <v>MID</v>
          </cell>
          <cell r="M122" t="str">
            <v>AVL</v>
          </cell>
        </row>
        <row r="123">
          <cell r="A123" t="str">
            <v>Nick Pope</v>
          </cell>
          <cell r="B123" t="str">
            <v>Pope</v>
          </cell>
          <cell r="E123">
            <v>3.4887413557753142</v>
          </cell>
          <cell r="F123">
            <v>4.2367371971787797</v>
          </cell>
          <cell r="G123">
            <v>2.2976455919036258</v>
          </cell>
          <cell r="H123">
            <v>3.4887413557753142</v>
          </cell>
          <cell r="I123">
            <v>4.2367371971787797</v>
          </cell>
          <cell r="J123">
            <v>4.1754726393905637</v>
          </cell>
          <cell r="K123">
            <v>3.7131401081963533</v>
          </cell>
          <cell r="L123" t="str">
            <v>GK</v>
          </cell>
          <cell r="M123" t="str">
            <v>NEW</v>
          </cell>
        </row>
        <row r="124">
          <cell r="A124" t="str">
            <v>Daniel Castelo Podence</v>
          </cell>
          <cell r="B124" t="str">
            <v>Podence</v>
          </cell>
          <cell r="C124" t="str">
            <v>Daniel Podence</v>
          </cell>
          <cell r="E124">
            <v>3.6130834139414425</v>
          </cell>
          <cell r="F124">
            <v>3.9455454545454542</v>
          </cell>
          <cell r="G124">
            <v>3.3027590371184896</v>
          </cell>
          <cell r="H124">
            <v>3.6130834139414425</v>
          </cell>
          <cell r="I124">
            <v>3.8681818181818177</v>
          </cell>
          <cell r="J124">
            <v>3.8141342009569392</v>
          </cell>
          <cell r="K124">
            <v>3.7128220261226459</v>
          </cell>
          <cell r="L124" t="str">
            <v>MID</v>
          </cell>
          <cell r="M124" t="str">
            <v>WOL</v>
          </cell>
        </row>
        <row r="125">
          <cell r="A125" t="str">
            <v>Kepa Arrizabalaga</v>
          </cell>
          <cell r="B125" t="str">
            <v>Arrizabalaga</v>
          </cell>
          <cell r="C125" t="str">
            <v>Kepa</v>
          </cell>
          <cell r="E125">
            <v>3.561372251772879</v>
          </cell>
          <cell r="F125">
            <v>4.0483430799220272</v>
          </cell>
          <cell r="G125">
            <v>2.4769993950393223</v>
          </cell>
          <cell r="H125">
            <v>3.561372251772879</v>
          </cell>
          <cell r="I125">
            <v>4.0483430799220272</v>
          </cell>
          <cell r="J125">
            <v>3.9913824666461473</v>
          </cell>
          <cell r="K125">
            <v>3.7074635002176231</v>
          </cell>
          <cell r="L125" t="str">
            <v>GK</v>
          </cell>
          <cell r="M125" t="str">
            <v>CHE</v>
          </cell>
        </row>
        <row r="126">
          <cell r="A126" t="str">
            <v>Tyrone Mings</v>
          </cell>
          <cell r="B126" t="str">
            <v>Mings</v>
          </cell>
          <cell r="E126">
            <v>3.7042340290361002</v>
          </cell>
          <cell r="F126">
            <v>3.7142857142857144</v>
          </cell>
          <cell r="G126">
            <v>2.5657475428571437</v>
          </cell>
          <cell r="H126">
            <v>3.7042340290361002</v>
          </cell>
          <cell r="I126">
            <v>3.7142857142857144</v>
          </cell>
          <cell r="J126">
            <v>3.7728564812030054</v>
          </cell>
          <cell r="K126">
            <v>3.7072495346109844</v>
          </cell>
          <cell r="L126" t="str">
            <v>DEF</v>
          </cell>
          <cell r="M126" t="str">
            <v>AVL</v>
          </cell>
        </row>
        <row r="127">
          <cell r="A127" t="str">
            <v>Dan Burn</v>
          </cell>
          <cell r="B127" t="str">
            <v>Burn</v>
          </cell>
          <cell r="E127">
            <v>3.7320146791497377</v>
          </cell>
          <cell r="F127">
            <v>3.6098423930524288</v>
          </cell>
          <cell r="G127">
            <v>2.5119788341925973</v>
          </cell>
          <cell r="H127">
            <v>3.7320146791497377</v>
          </cell>
          <cell r="I127">
            <v>3.6098423930524288</v>
          </cell>
          <cell r="J127">
            <v>3.5553557942445311</v>
          </cell>
          <cell r="K127">
            <v>3.6953629933205452</v>
          </cell>
          <cell r="L127" t="str">
            <v>DEF</v>
          </cell>
          <cell r="M127" t="str">
            <v>NEW</v>
          </cell>
        </row>
        <row r="128">
          <cell r="A128" t="str">
            <v>Kieran Tierney</v>
          </cell>
          <cell r="B128" t="str">
            <v>Tierney</v>
          </cell>
          <cell r="E128">
            <v>3.6178026541365704</v>
          </cell>
          <cell r="F128">
            <v>3.8720930232558137</v>
          </cell>
          <cell r="G128">
            <v>2</v>
          </cell>
          <cell r="H128">
            <v>3.6178026541365704</v>
          </cell>
          <cell r="I128">
            <v>3.8720930232558137</v>
          </cell>
          <cell r="J128">
            <v>0</v>
          </cell>
          <cell r="K128">
            <v>3.6940897648723432</v>
          </cell>
          <cell r="L128" t="str">
            <v>DEF</v>
          </cell>
          <cell r="M128" t="str">
            <v>ARS</v>
          </cell>
        </row>
        <row r="129">
          <cell r="A129" t="str">
            <v>Sam Johnstone</v>
          </cell>
          <cell r="B129" t="str">
            <v>Johnstone</v>
          </cell>
          <cell r="E129">
            <v>3.5542630171889722</v>
          </cell>
          <cell r="F129">
            <v>4</v>
          </cell>
          <cell r="G129">
            <v>2.4333333333333331</v>
          </cell>
          <cell r="H129">
            <v>3.5542630171889722</v>
          </cell>
          <cell r="I129">
            <v>4</v>
          </cell>
          <cell r="J129">
            <v>0</v>
          </cell>
          <cell r="K129">
            <v>3.6879841120322805</v>
          </cell>
          <cell r="L129" t="str">
            <v>GK</v>
          </cell>
          <cell r="M129" t="str">
            <v>CRY</v>
          </cell>
        </row>
        <row r="130">
          <cell r="A130" t="str">
            <v>Bernardo Veiga de Carvalho e Silva</v>
          </cell>
          <cell r="B130" t="str">
            <v>Bernardo</v>
          </cell>
          <cell r="C130" t="str">
            <v>B Silva</v>
          </cell>
          <cell r="D130" t="str">
            <v>Bernardo Silva</v>
          </cell>
          <cell r="E130">
            <v>3.4119530252534176</v>
          </cell>
          <cell r="F130">
            <v>4.2396782027929572</v>
          </cell>
          <cell r="G130">
            <v>2.8935752405734618</v>
          </cell>
          <cell r="H130">
            <v>3.4119530252534176</v>
          </cell>
          <cell r="I130">
            <v>4.1029143897996363</v>
          </cell>
          <cell r="J130">
            <v>4.0078166081871354</v>
          </cell>
          <cell r="K130">
            <v>3.6602705785152789</v>
          </cell>
          <cell r="L130" t="str">
            <v>MID</v>
          </cell>
          <cell r="M130" t="str">
            <v>MCI</v>
          </cell>
        </row>
        <row r="131">
          <cell r="A131" t="str">
            <v>Leandro Trossard</v>
          </cell>
          <cell r="B131" t="str">
            <v>Trossard</v>
          </cell>
          <cell r="E131">
            <v>3.2619898445691393</v>
          </cell>
          <cell r="F131">
            <v>4.5663030844881529</v>
          </cell>
          <cell r="G131">
            <v>2.2383907018328117</v>
          </cell>
          <cell r="H131">
            <v>3.2619898445691393</v>
          </cell>
          <cell r="I131">
            <v>4.5435851586946798</v>
          </cell>
          <cell r="J131">
            <v>0</v>
          </cell>
          <cell r="K131">
            <v>3.6532838165448434</v>
          </cell>
          <cell r="L131" t="str">
            <v>MID</v>
          </cell>
          <cell r="M131" t="str">
            <v>ARS</v>
          </cell>
        </row>
        <row r="132">
          <cell r="A132" t="str">
            <v>Cole Palmer</v>
          </cell>
          <cell r="B132" t="str">
            <v>Palmer</v>
          </cell>
          <cell r="E132">
            <v>3.061532019003689</v>
          </cell>
          <cell r="F132">
            <v>5.0153631284916198</v>
          </cell>
          <cell r="G132">
            <v>1.723463687150838</v>
          </cell>
          <cell r="H132">
            <v>3.061532019003689</v>
          </cell>
          <cell r="I132">
            <v>4.7765363128491618</v>
          </cell>
          <cell r="J132">
            <v>0</v>
          </cell>
          <cell r="K132">
            <v>3.6476813518500677</v>
          </cell>
          <cell r="L132" t="str">
            <v>MID</v>
          </cell>
          <cell r="M132" t="str">
            <v>MCI</v>
          </cell>
        </row>
        <row r="133">
          <cell r="A133" t="str">
            <v>Demarai Gray</v>
          </cell>
          <cell r="B133" t="str">
            <v>Gray</v>
          </cell>
          <cell r="C133" t="str">
            <v>D Gray</v>
          </cell>
          <cell r="E133">
            <v>3.8239031678702471</v>
          </cell>
          <cell r="F133">
            <v>3.2218638470537715</v>
          </cell>
          <cell r="G133">
            <v>3.676210021283747</v>
          </cell>
          <cell r="H133">
            <v>3.8239031678702471</v>
          </cell>
          <cell r="I133">
            <v>3.1291483406637348</v>
          </cell>
          <cell r="J133">
            <v>3.2011979197615106</v>
          </cell>
          <cell r="K133">
            <v>3.6432913716253044</v>
          </cell>
          <cell r="L133" t="str">
            <v>MID</v>
          </cell>
          <cell r="M133" t="str">
            <v>EVE</v>
          </cell>
        </row>
        <row r="134">
          <cell r="A134" t="str">
            <v>Kieffer Moore</v>
          </cell>
          <cell r="B134" t="str">
            <v>Moore</v>
          </cell>
          <cell r="E134">
            <v>3.4819017599159445</v>
          </cell>
          <cell r="F134">
            <v>3.9916469661150513</v>
          </cell>
          <cell r="G134">
            <v>3.3487835885413419</v>
          </cell>
          <cell r="H134">
            <v>3.4819017599159445</v>
          </cell>
          <cell r="I134">
            <v>3.8628841607565017</v>
          </cell>
          <cell r="J134">
            <v>3.8081978045347928</v>
          </cell>
          <cell r="K134">
            <v>3.6348253217756765</v>
          </cell>
          <cell r="L134" t="str">
            <v>FWD</v>
          </cell>
          <cell r="M134" t="str">
            <v>BOU</v>
          </cell>
        </row>
        <row r="135">
          <cell r="A135" t="str">
            <v>Ben Davies</v>
          </cell>
          <cell r="B135" t="str">
            <v>Davies</v>
          </cell>
          <cell r="C135" t="str">
            <v>Ben T Davies</v>
          </cell>
          <cell r="E135">
            <v>3.5460025774753166</v>
          </cell>
          <cell r="F135">
            <v>3.7710157618213658</v>
          </cell>
          <cell r="G135">
            <v>2.4713524447739208</v>
          </cell>
          <cell r="H135">
            <v>3.5460025774753166</v>
          </cell>
          <cell r="I135">
            <v>3.7710157618213658</v>
          </cell>
          <cell r="J135">
            <v>0</v>
          </cell>
          <cell r="K135">
            <v>3.6135065327791311</v>
          </cell>
          <cell r="L135" t="str">
            <v>DEF</v>
          </cell>
          <cell r="M135" t="str">
            <v>TOT</v>
          </cell>
        </row>
        <row r="136">
          <cell r="A136" t="str">
            <v>Rico Lewis</v>
          </cell>
          <cell r="B136" t="str">
            <v>R.Lewis</v>
          </cell>
          <cell r="C136" t="str">
            <v>R Lewis</v>
          </cell>
          <cell r="E136">
            <v>4.0004922785241623</v>
          </cell>
          <cell r="F136">
            <v>2.6422222222222222</v>
          </cell>
          <cell r="G136">
            <v>1.9034222222222221</v>
          </cell>
          <cell r="H136">
            <v>4.0004922785241623</v>
          </cell>
          <cell r="I136">
            <v>2.6422222222222222</v>
          </cell>
          <cell r="J136">
            <v>0</v>
          </cell>
          <cell r="K136">
            <v>3.5930112616335803</v>
          </cell>
          <cell r="L136" t="str">
            <v>DEF</v>
          </cell>
          <cell r="M136" t="str">
            <v>MCI</v>
          </cell>
        </row>
        <row r="137">
          <cell r="A137" t="str">
            <v>João Pedro Junqueira de Jesus</v>
          </cell>
          <cell r="E137">
            <v>3.5744444444444445</v>
          </cell>
          <cell r="F137">
            <v>3.6294999999999997</v>
          </cell>
          <cell r="G137">
            <v>2.2999999999999998</v>
          </cell>
          <cell r="H137">
            <v>3.5744444444444445</v>
          </cell>
          <cell r="I137">
            <v>3.57</v>
          </cell>
          <cell r="J137">
            <v>0</v>
          </cell>
          <cell r="K137">
            <v>3.590961111111111</v>
          </cell>
          <cell r="L137" t="str">
            <v>FWD</v>
          </cell>
          <cell r="M137" t="str">
            <v>BHA</v>
          </cell>
        </row>
        <row r="138">
          <cell r="A138" t="str">
            <v>Dejan Kulusevski</v>
          </cell>
          <cell r="B138" t="str">
            <v>Kulusevski</v>
          </cell>
          <cell r="E138">
            <v>3.4841808927706195</v>
          </cell>
          <cell r="F138">
            <v>3.8120861974444402</v>
          </cell>
          <cell r="G138">
            <v>3.1687322349628424</v>
          </cell>
          <cell r="H138">
            <v>3.4841808927706195</v>
          </cell>
          <cell r="I138">
            <v>3.7710960232783708</v>
          </cell>
          <cell r="J138">
            <v>3.7523028303414581</v>
          </cell>
          <cell r="K138">
            <v>3.5825524841727656</v>
          </cell>
          <cell r="L138" t="str">
            <v>MID</v>
          </cell>
          <cell r="M138" t="str">
            <v>TOT</v>
          </cell>
        </row>
        <row r="139">
          <cell r="A139" t="str">
            <v>Carlos Henrique Casimiro</v>
          </cell>
          <cell r="B139" t="str">
            <v>Casemiro</v>
          </cell>
          <cell r="E139">
            <v>3.5370399563038193</v>
          </cell>
          <cell r="F139">
            <v>3.6156043826578701</v>
          </cell>
          <cell r="G139">
            <v>3.2096219709647773</v>
          </cell>
          <cell r="H139">
            <v>3.5370399563038193</v>
          </cell>
          <cell r="I139">
            <v>3.4849198868991516</v>
          </cell>
          <cell r="J139">
            <v>3.5001262845673522</v>
          </cell>
          <cell r="K139">
            <v>3.5606092842100345</v>
          </cell>
          <cell r="L139" t="str">
            <v>MID</v>
          </cell>
          <cell r="M139" t="str">
            <v>MUN</v>
          </cell>
        </row>
        <row r="140">
          <cell r="A140" t="str">
            <v>James Tarkowski</v>
          </cell>
          <cell r="B140" t="str">
            <v>Tarkowski</v>
          </cell>
          <cell r="E140">
            <v>3.8889868797009597</v>
          </cell>
          <cell r="F140">
            <v>2.7894736842105265</v>
          </cell>
          <cell r="G140">
            <v>2.7800896523545706</v>
          </cell>
          <cell r="H140">
            <v>3.8889868797009597</v>
          </cell>
          <cell r="I140">
            <v>2.7894736842105265</v>
          </cell>
          <cell r="J140">
            <v>2.8723730249307478</v>
          </cell>
          <cell r="K140">
            <v>3.5591329210538296</v>
          </cell>
          <cell r="L140" t="str">
            <v>DEF</v>
          </cell>
          <cell r="M140" t="str">
            <v>EVE</v>
          </cell>
        </row>
        <row r="141">
          <cell r="A141" t="str">
            <v>Joël Veltman</v>
          </cell>
          <cell r="B141" t="str">
            <v>Veltman</v>
          </cell>
          <cell r="C141" t="str">
            <v>Joel Veltman</v>
          </cell>
          <cell r="E141">
            <v>3.6071236557904331</v>
          </cell>
          <cell r="F141">
            <v>3.4379294548786072</v>
          </cell>
          <cell r="G141">
            <v>2.4370123678366</v>
          </cell>
          <cell r="H141">
            <v>3.6071236557904331</v>
          </cell>
          <cell r="I141">
            <v>3.4379294548786072</v>
          </cell>
          <cell r="J141">
            <v>3.4545169104204763</v>
          </cell>
          <cell r="K141">
            <v>3.556365395516885</v>
          </cell>
          <cell r="L141" t="str">
            <v>DEF</v>
          </cell>
          <cell r="M141" t="str">
            <v>BHA</v>
          </cell>
        </row>
        <row r="142">
          <cell r="A142" t="str">
            <v>Mason Mount</v>
          </cell>
          <cell r="B142" t="str">
            <v>Mount</v>
          </cell>
          <cell r="E142">
            <v>3.4022205446903109</v>
          </cell>
          <cell r="F142">
            <v>3.907843673965937</v>
          </cell>
          <cell r="G142">
            <v>3.1052178643434214</v>
          </cell>
          <cell r="H142">
            <v>3.4022205446903109</v>
          </cell>
          <cell r="I142">
            <v>3.8406326034063261</v>
          </cell>
          <cell r="J142">
            <v>3.851655342616251</v>
          </cell>
          <cell r="K142">
            <v>3.5539074834729982</v>
          </cell>
          <cell r="L142" t="str">
            <v>MID</v>
          </cell>
          <cell r="M142" t="str">
            <v>MUN</v>
          </cell>
        </row>
        <row r="143">
          <cell r="A143" t="str">
            <v>Mads Roerslev Rasmussen</v>
          </cell>
          <cell r="B143" t="str">
            <v>Roerslev</v>
          </cell>
          <cell r="C143" t="str">
            <v>Mads Roerslev</v>
          </cell>
          <cell r="E143">
            <v>3.4864270117803824</v>
          </cell>
          <cell r="F143">
            <v>3.7057220708446863</v>
          </cell>
          <cell r="G143">
            <v>2</v>
          </cell>
          <cell r="H143">
            <v>3.4864270117803824</v>
          </cell>
          <cell r="I143">
            <v>3.7057220708446863</v>
          </cell>
          <cell r="J143">
            <v>0</v>
          </cell>
          <cell r="K143">
            <v>3.5522155294996729</v>
          </cell>
          <cell r="L143" t="str">
            <v>DEF</v>
          </cell>
          <cell r="M143" t="str">
            <v>BRE</v>
          </cell>
        </row>
        <row r="144">
          <cell r="A144" t="str">
            <v>Aaron Ramsdale</v>
          </cell>
          <cell r="B144" t="str">
            <v>Ramsdale</v>
          </cell>
          <cell r="E144">
            <v>3.4594788914341557</v>
          </cell>
          <cell r="F144">
            <v>3.763157894736842</v>
          </cell>
          <cell r="G144">
            <v>2.2078947368421051</v>
          </cell>
          <cell r="H144">
            <v>3.4594788914341557</v>
          </cell>
          <cell r="I144">
            <v>3.763157894736842</v>
          </cell>
          <cell r="J144">
            <v>3.7725594515235459</v>
          </cell>
          <cell r="K144">
            <v>3.5505825924249614</v>
          </cell>
          <cell r="L144" t="str">
            <v>GK</v>
          </cell>
          <cell r="M144" t="str">
            <v>ARS</v>
          </cell>
        </row>
        <row r="145">
          <cell r="A145" t="str">
            <v>Takehiro Tomiyasu</v>
          </cell>
          <cell r="B145" t="str">
            <v>Tomiyasu</v>
          </cell>
          <cell r="E145">
            <v>3.4453101560120389</v>
          </cell>
          <cell r="F145">
            <v>3.78494623655914</v>
          </cell>
          <cell r="G145">
            <v>1.7516129032258063</v>
          </cell>
          <cell r="H145">
            <v>3.4453101560120389</v>
          </cell>
          <cell r="I145">
            <v>3.78494623655914</v>
          </cell>
          <cell r="J145">
            <v>0</v>
          </cell>
          <cell r="K145">
            <v>3.5472009801761688</v>
          </cell>
          <cell r="L145" t="str">
            <v>DEF</v>
          </cell>
          <cell r="M145" t="str">
            <v>ARS</v>
          </cell>
        </row>
        <row r="146">
          <cell r="A146" t="str">
            <v>Philip Billing</v>
          </cell>
          <cell r="B146" t="str">
            <v>Billing</v>
          </cell>
          <cell r="E146">
            <v>3.481141686142716</v>
          </cell>
          <cell r="F146">
            <v>3.6569127217047339</v>
          </cell>
          <cell r="G146">
            <v>3.2088734468412223</v>
          </cell>
          <cell r="H146">
            <v>3.481141686142716</v>
          </cell>
          <cell r="I146">
            <v>3.5986984815618221</v>
          </cell>
          <cell r="J146">
            <v>3.5782965819178911</v>
          </cell>
          <cell r="K146">
            <v>3.5338729968113212</v>
          </cell>
          <cell r="L146" t="str">
            <v>MID</v>
          </cell>
          <cell r="M146" t="str">
            <v>BOU</v>
          </cell>
        </row>
        <row r="147">
          <cell r="A147" t="str">
            <v>Adam Webster</v>
          </cell>
          <cell r="B147" t="str">
            <v>Webster</v>
          </cell>
          <cell r="E147">
            <v>3.6662325854294266</v>
          </cell>
          <cell r="F147">
            <v>3.2148260211800301</v>
          </cell>
          <cell r="G147">
            <v>2.5072951326777</v>
          </cell>
          <cell r="H147">
            <v>3.6662325854294266</v>
          </cell>
          <cell r="I147">
            <v>3.2148260211800301</v>
          </cell>
          <cell r="J147">
            <v>3.2344736842105273</v>
          </cell>
          <cell r="K147">
            <v>3.5308106161546071</v>
          </cell>
          <cell r="L147" t="str">
            <v>DEF</v>
          </cell>
          <cell r="M147" t="str">
            <v>BHA</v>
          </cell>
        </row>
        <row r="148">
          <cell r="A148" t="str">
            <v>Vicente Guaita</v>
          </cell>
          <cell r="B148" t="str">
            <v>Guaita</v>
          </cell>
          <cell r="E148">
            <v>3.4505593134852681</v>
          </cell>
          <cell r="F148">
            <v>3.666666666666667</v>
          </cell>
          <cell r="G148">
            <v>2.3296296296296295</v>
          </cell>
          <cell r="H148">
            <v>3.4505593134852681</v>
          </cell>
          <cell r="I148">
            <v>3.666666666666667</v>
          </cell>
          <cell r="J148">
            <v>3.7545454736842112</v>
          </cell>
          <cell r="K148">
            <v>3.5153915194396874</v>
          </cell>
          <cell r="L148" t="str">
            <v>GK</v>
          </cell>
          <cell r="M148" t="str">
            <v>CRY</v>
          </cell>
        </row>
        <row r="149">
          <cell r="A149" t="str">
            <v>Hugo Lloris</v>
          </cell>
          <cell r="B149" t="str">
            <v>Lloris</v>
          </cell>
          <cell r="E149">
            <v>3.4994047531649253</v>
          </cell>
          <cell r="F149">
            <v>3.5519274376417234</v>
          </cell>
          <cell r="G149">
            <v>2.4789115646258502</v>
          </cell>
          <cell r="H149">
            <v>3.4994047531649253</v>
          </cell>
          <cell r="I149">
            <v>3.5519274376417234</v>
          </cell>
          <cell r="J149">
            <v>3.5410869551020419</v>
          </cell>
          <cell r="K149">
            <v>3.5151615585079647</v>
          </cell>
          <cell r="L149" t="str">
            <v>GK</v>
          </cell>
          <cell r="M149" t="str">
            <v>TOT</v>
          </cell>
        </row>
        <row r="150">
          <cell r="A150" t="str">
            <v>Aaron Cresswell</v>
          </cell>
          <cell r="B150" t="str">
            <v>Cresswell</v>
          </cell>
          <cell r="E150">
            <v>3.7720628279084902</v>
          </cell>
          <cell r="F150">
            <v>2.9136465324384782</v>
          </cell>
          <cell r="G150">
            <v>2.6493417255622287</v>
          </cell>
          <cell r="H150">
            <v>3.7720628279084902</v>
          </cell>
          <cell r="I150">
            <v>2.9136465324384782</v>
          </cell>
          <cell r="J150">
            <v>2.965965503073118</v>
          </cell>
          <cell r="K150">
            <v>3.5145379392674863</v>
          </cell>
          <cell r="L150" t="str">
            <v>DEF</v>
          </cell>
          <cell r="M150" t="str">
            <v>WHU</v>
          </cell>
        </row>
        <row r="151">
          <cell r="A151" t="str">
            <v>Tyrell Malacia</v>
          </cell>
          <cell r="B151" t="str">
            <v>Malacia</v>
          </cell>
          <cell r="E151">
            <v>3.4140988971642185</v>
          </cell>
          <cell r="F151">
            <v>3.7440690150970526</v>
          </cell>
          <cell r="G151">
            <v>2.2938783084396199</v>
          </cell>
          <cell r="H151">
            <v>3.4140988971642185</v>
          </cell>
          <cell r="I151">
            <v>3.7440690150970526</v>
          </cell>
          <cell r="J151">
            <v>3.7290988249132857</v>
          </cell>
          <cell r="K151">
            <v>3.5130899325440685</v>
          </cell>
          <cell r="L151" t="str">
            <v>DEF</v>
          </cell>
          <cell r="M151" t="str">
            <v>MUN</v>
          </cell>
        </row>
        <row r="152">
          <cell r="A152" t="str">
            <v>Hakim Ziyech</v>
          </cell>
          <cell r="B152" t="str">
            <v>Ziyech</v>
          </cell>
          <cell r="E152">
            <v>3.330720262804435</v>
          </cell>
          <cell r="F152">
            <v>3.9288135593220339</v>
          </cell>
          <cell r="G152">
            <v>1.8789933230611195</v>
          </cell>
          <cell r="H152">
            <v>3.330720262804435</v>
          </cell>
          <cell r="I152">
            <v>3.8644067796610173</v>
          </cell>
          <cell r="J152">
            <v>0</v>
          </cell>
          <cell r="K152">
            <v>3.5101482517597145</v>
          </cell>
          <cell r="L152" t="str">
            <v>MID</v>
          </cell>
          <cell r="M152" t="str">
            <v>CHE</v>
          </cell>
        </row>
        <row r="153">
          <cell r="A153" t="str">
            <v>Rob Holding</v>
          </cell>
          <cell r="B153" t="str">
            <v>Holding</v>
          </cell>
          <cell r="E153">
            <v>3.5686660051258583</v>
          </cell>
          <cell r="F153">
            <v>3.3629893238434163</v>
          </cell>
          <cell r="G153">
            <v>2</v>
          </cell>
          <cell r="H153">
            <v>3.5686660051258583</v>
          </cell>
          <cell r="I153">
            <v>3.3629893238434163</v>
          </cell>
          <cell r="J153">
            <v>0</v>
          </cell>
          <cell r="K153">
            <v>3.5069630007411257</v>
          </cell>
          <cell r="L153" t="str">
            <v>DEF</v>
          </cell>
          <cell r="M153" t="str">
            <v>ARS</v>
          </cell>
        </row>
        <row r="154">
          <cell r="A154" t="str">
            <v>José Malheiro de Sá</v>
          </cell>
          <cell r="B154" t="str">
            <v>José Sá</v>
          </cell>
          <cell r="C154" t="str">
            <v>Sa</v>
          </cell>
          <cell r="D154" t="str">
            <v>José Sá</v>
          </cell>
          <cell r="E154">
            <v>3.2406789638965696</v>
          </cell>
          <cell r="F154">
            <v>4.1111111111111107</v>
          </cell>
          <cell r="G154">
            <v>2.4388888888888891</v>
          </cell>
          <cell r="H154">
            <v>3.2406789638965696</v>
          </cell>
          <cell r="I154">
            <v>4.1111111111111107</v>
          </cell>
          <cell r="J154">
            <v>4.0714047017543846</v>
          </cell>
          <cell r="K154">
            <v>3.5018086080609319</v>
          </cell>
          <cell r="L154" t="str">
            <v>GK</v>
          </cell>
          <cell r="M154" t="str">
            <v>WOL</v>
          </cell>
        </row>
        <row r="155">
          <cell r="A155" t="str">
            <v>Diego Carlos Santos Silva</v>
          </cell>
          <cell r="B155" t="str">
            <v>Diego Carlos</v>
          </cell>
          <cell r="C155" t="str">
            <v>Carlos</v>
          </cell>
          <cell r="E155">
            <v>4.2465884940638512</v>
          </cell>
          <cell r="F155">
            <v>1.7560975609756098</v>
          </cell>
          <cell r="G155">
            <v>2</v>
          </cell>
          <cell r="H155">
            <v>4.2465884940638512</v>
          </cell>
          <cell r="I155">
            <v>1.7560975609756098</v>
          </cell>
          <cell r="J155">
            <v>0</v>
          </cell>
          <cell r="K155">
            <v>3.4994412141373785</v>
          </cell>
          <cell r="L155" t="str">
            <v>DEF</v>
          </cell>
          <cell r="M155" t="str">
            <v>AVL</v>
          </cell>
        </row>
        <row r="156">
          <cell r="A156" t="str">
            <v>Harry Maguire</v>
          </cell>
          <cell r="B156" t="str">
            <v>Maguire</v>
          </cell>
          <cell r="E156">
            <v>3.0220602235457039</v>
          </cell>
          <cell r="F156">
            <v>4.606299212598425</v>
          </cell>
          <cell r="G156">
            <v>1.7165354330708662</v>
          </cell>
          <cell r="H156">
            <v>3.0220602235457039</v>
          </cell>
          <cell r="I156">
            <v>4.606299212598425</v>
          </cell>
          <cell r="J156">
            <v>0</v>
          </cell>
          <cell r="K156">
            <v>3.4973319202615203</v>
          </cell>
          <cell r="L156" t="str">
            <v>DEF</v>
          </cell>
          <cell r="M156" t="str">
            <v>MUN</v>
          </cell>
        </row>
        <row r="157">
          <cell r="A157" t="str">
            <v>Mason Holgate</v>
          </cell>
          <cell r="B157" t="str">
            <v>Holgate</v>
          </cell>
          <cell r="E157">
            <v>3.948781345143336</v>
          </cell>
          <cell r="F157">
            <v>2.4031620553359683</v>
          </cell>
          <cell r="G157">
            <v>1.8317786561264824</v>
          </cell>
          <cell r="H157">
            <v>3.948781345143336</v>
          </cell>
          <cell r="I157">
            <v>2.4031620553359683</v>
          </cell>
          <cell r="J157">
            <v>0</v>
          </cell>
          <cell r="K157">
            <v>3.4850955582011256</v>
          </cell>
          <cell r="L157" t="str">
            <v>DEF</v>
          </cell>
          <cell r="M157" t="str">
            <v>EVE</v>
          </cell>
        </row>
        <row r="158">
          <cell r="A158" t="str">
            <v>Tom Cairney</v>
          </cell>
          <cell r="B158" t="str">
            <v>Cairney</v>
          </cell>
          <cell r="E158">
            <v>3.1476390889091554</v>
          </cell>
          <cell r="F158">
            <v>4.2706611570247937</v>
          </cell>
          <cell r="G158">
            <v>2</v>
          </cell>
          <cell r="H158">
            <v>3.1476390889091554</v>
          </cell>
          <cell r="I158">
            <v>4.2706611570247937</v>
          </cell>
          <cell r="J158">
            <v>0</v>
          </cell>
          <cell r="K158">
            <v>3.4845457093438466</v>
          </cell>
          <cell r="L158" t="str">
            <v>MID</v>
          </cell>
          <cell r="M158" t="str">
            <v>FUL</v>
          </cell>
        </row>
        <row r="159">
          <cell r="A159" t="str">
            <v>Victor Lindelöf</v>
          </cell>
          <cell r="B159" t="str">
            <v>Lindelof</v>
          </cell>
          <cell r="E159">
            <v>3.3584594190547659</v>
          </cell>
          <cell r="F159">
            <v>3.7748344370860925</v>
          </cell>
          <cell r="G159">
            <v>2.2650519202923252</v>
          </cell>
          <cell r="H159">
            <v>3.3584594190547659</v>
          </cell>
          <cell r="I159">
            <v>3.7748344370860925</v>
          </cell>
          <cell r="J159">
            <v>3.7566700219780214</v>
          </cell>
          <cell r="K159">
            <v>3.4833719244641634</v>
          </cell>
          <cell r="L159" t="str">
            <v>DEF</v>
          </cell>
          <cell r="M159" t="str">
            <v>MUN</v>
          </cell>
        </row>
        <row r="160">
          <cell r="A160" t="str">
            <v>James Tomkins</v>
          </cell>
          <cell r="B160" t="str">
            <v>Tomkins</v>
          </cell>
          <cell r="E160">
            <v>4.1528933592665442</v>
          </cell>
          <cell r="F160">
            <v>1.8865671641791044</v>
          </cell>
          <cell r="G160">
            <v>1.4811940298507464</v>
          </cell>
          <cell r="H160">
            <v>4.1528933592665442</v>
          </cell>
          <cell r="I160">
            <v>1.8865671641791044</v>
          </cell>
          <cell r="J160">
            <v>0</v>
          </cell>
          <cell r="K160">
            <v>3.4729955007403119</v>
          </cell>
          <cell r="L160" t="str">
            <v>DEF</v>
          </cell>
          <cell r="M160" t="str">
            <v>CRY</v>
          </cell>
        </row>
        <row r="161">
          <cell r="A161" t="str">
            <v>Pablo Fornals Malla</v>
          </cell>
          <cell r="B161" t="str">
            <v>P.Fornals</v>
          </cell>
          <cell r="C161" t="str">
            <v>Pablo Fornals</v>
          </cell>
          <cell r="E161">
            <v>3.4070080242498531</v>
          </cell>
          <cell r="F161">
            <v>3.5981147314920618</v>
          </cell>
          <cell r="G161">
            <v>3.161551104757983</v>
          </cell>
          <cell r="H161">
            <v>3.4070080242498531</v>
          </cell>
          <cell r="I161">
            <v>3.566644340254522</v>
          </cell>
          <cell r="J161">
            <v>3.5882768988339109</v>
          </cell>
          <cell r="K161">
            <v>3.4643400364225152</v>
          </cell>
          <cell r="L161" t="str">
            <v>MID</v>
          </cell>
          <cell r="M161" t="str">
            <v>WHU</v>
          </cell>
        </row>
        <row r="162">
          <cell r="A162" t="str">
            <v>Robert Sánchez</v>
          </cell>
          <cell r="B162" t="str">
            <v>Sanchez</v>
          </cell>
          <cell r="C162" t="str">
            <v>R Sanchez</v>
          </cell>
          <cell r="D162" t="str">
            <v>SANCHEZ</v>
          </cell>
          <cell r="E162">
            <v>3.4193644638187091</v>
          </cell>
          <cell r="F162">
            <v>3.5652173913043481</v>
          </cell>
          <cell r="G162">
            <v>2.339130434782609</v>
          </cell>
          <cell r="H162">
            <v>3.4193644638187091</v>
          </cell>
          <cell r="I162">
            <v>3.5652173913043481</v>
          </cell>
          <cell r="J162">
            <v>3.5150544073226553</v>
          </cell>
          <cell r="K162">
            <v>3.4631203420644008</v>
          </cell>
          <cell r="L162" t="str">
            <v>GK</v>
          </cell>
          <cell r="M162" t="str">
            <v>CHE</v>
          </cell>
        </row>
        <row r="163">
          <cell r="A163" t="str">
            <v>Harry Wilson</v>
          </cell>
          <cell r="B163" t="str">
            <v>Wilson</v>
          </cell>
          <cell r="C163" t="str">
            <v>H Wilson</v>
          </cell>
          <cell r="D163" t="str">
            <v>Wilson</v>
          </cell>
          <cell r="E163">
            <v>3.0812406853896581</v>
          </cell>
          <cell r="F163">
            <v>4.3410563629918473</v>
          </cell>
          <cell r="G163">
            <v>2.0640836582772066</v>
          </cell>
          <cell r="H163">
            <v>3.0812406853896581</v>
          </cell>
          <cell r="I163">
            <v>4.3244239631336407</v>
          </cell>
          <cell r="J163">
            <v>0</v>
          </cell>
          <cell r="K163">
            <v>3.4591853886703143</v>
          </cell>
          <cell r="L163" t="str">
            <v>MID</v>
          </cell>
          <cell r="M163" t="str">
            <v>FUL</v>
          </cell>
        </row>
        <row r="164">
          <cell r="A164" t="str">
            <v>Armando Broja</v>
          </cell>
          <cell r="B164" t="str">
            <v>Broja</v>
          </cell>
          <cell r="E164">
            <v>2.8228070175438598</v>
          </cell>
          <cell r="F164">
            <v>4.9368421052631577</v>
          </cell>
          <cell r="G164">
            <v>2</v>
          </cell>
          <cell r="H164">
            <v>2.8228070175438598</v>
          </cell>
          <cell r="I164">
            <v>4.9368421052631577</v>
          </cell>
          <cell r="J164">
            <v>0</v>
          </cell>
          <cell r="K164">
            <v>3.4570175438596489</v>
          </cell>
          <cell r="L164" t="str">
            <v>FWD</v>
          </cell>
          <cell r="M164" t="str">
            <v>CHE</v>
          </cell>
        </row>
        <row r="165">
          <cell r="A165" t="str">
            <v>Hwang Hee-chan</v>
          </cell>
          <cell r="B165" t="str">
            <v>Hee Chan</v>
          </cell>
          <cell r="E165">
            <v>3.4005322253312564</v>
          </cell>
          <cell r="F165">
            <v>3.5599820948970451</v>
          </cell>
          <cell r="G165">
            <v>2.1191584601611457</v>
          </cell>
          <cell r="H165">
            <v>3.4005322253312564</v>
          </cell>
          <cell r="I165">
            <v>3.545210384959713</v>
          </cell>
          <cell r="J165">
            <v>0</v>
          </cell>
          <cell r="K165">
            <v>3.4483671862009926</v>
          </cell>
          <cell r="L165" t="str">
            <v>MID</v>
          </cell>
          <cell r="M165" t="str">
            <v>WOL</v>
          </cell>
        </row>
        <row r="166">
          <cell r="A166" t="str">
            <v>Emiliano Martínez Romero</v>
          </cell>
          <cell r="B166" t="str">
            <v>Martinez</v>
          </cell>
          <cell r="C166" t="str">
            <v>Emiliano Martínez</v>
          </cell>
          <cell r="D166" t="str">
            <v>Martinez</v>
          </cell>
          <cell r="E166">
            <v>3.3176056552462723</v>
          </cell>
          <cell r="F166">
            <v>3.741637464160561</v>
          </cell>
          <cell r="G166">
            <v>2.2263809331723703</v>
          </cell>
          <cell r="H166">
            <v>3.3176056552462723</v>
          </cell>
          <cell r="I166">
            <v>3.741637464160561</v>
          </cell>
          <cell r="J166">
            <v>3.800639542261194</v>
          </cell>
          <cell r="K166">
            <v>3.4448151979205583</v>
          </cell>
          <cell r="L166" t="str">
            <v>GK</v>
          </cell>
          <cell r="M166" t="str">
            <v>AVL</v>
          </cell>
        </row>
        <row r="167">
          <cell r="A167" t="str">
            <v>Emerson Palmieri dos Santos</v>
          </cell>
          <cell r="B167" t="str">
            <v>Emerson</v>
          </cell>
          <cell r="C167" t="str">
            <v>Emerson P</v>
          </cell>
          <cell r="E167">
            <v>3.8456425483866563</v>
          </cell>
          <cell r="F167">
            <v>2.428246013667426</v>
          </cell>
          <cell r="G167">
            <v>2.5087555000440527</v>
          </cell>
          <cell r="H167">
            <v>3.8456425483866563</v>
          </cell>
          <cell r="I167">
            <v>2.428246013667426</v>
          </cell>
          <cell r="J167">
            <v>1.8763256317912933</v>
          </cell>
          <cell r="K167">
            <v>3.4204235879708871</v>
          </cell>
          <cell r="L167" t="str">
            <v>DEF</v>
          </cell>
          <cell r="M167" t="str">
            <v>WHU</v>
          </cell>
        </row>
        <row r="168">
          <cell r="A168" t="str">
            <v>Lewis Dunk</v>
          </cell>
          <cell r="B168" t="str">
            <v>Dunk</v>
          </cell>
          <cell r="E168">
            <v>3.5519683017948127</v>
          </cell>
          <cell r="F168">
            <v>3.1111111111111107</v>
          </cell>
          <cell r="G168">
            <v>2.4262417886218977</v>
          </cell>
          <cell r="H168">
            <v>3.5519683017948127</v>
          </cell>
          <cell r="I168">
            <v>3.1111111111111107</v>
          </cell>
          <cell r="J168">
            <v>3.1342492322191715</v>
          </cell>
          <cell r="K168">
            <v>3.4197111445897019</v>
          </cell>
          <cell r="L168" t="str">
            <v>DEF</v>
          </cell>
          <cell r="M168" t="str">
            <v>BHA</v>
          </cell>
        </row>
        <row r="169">
          <cell r="A169" t="str">
            <v>André Onana</v>
          </cell>
          <cell r="B169" t="str">
            <v>Onana</v>
          </cell>
          <cell r="E169">
            <v>3.3716665227583027</v>
          </cell>
          <cell r="F169">
            <v>3.5</v>
          </cell>
          <cell r="G169">
            <v>2.2999999999999998</v>
          </cell>
          <cell r="H169">
            <v>3.3716665227583027</v>
          </cell>
          <cell r="I169">
            <v>3.5</v>
          </cell>
          <cell r="J169">
            <v>0</v>
          </cell>
          <cell r="K169">
            <v>3.4101665659308118</v>
          </cell>
          <cell r="L169" t="str">
            <v>GK</v>
          </cell>
          <cell r="M169" t="str">
            <v>MUN</v>
          </cell>
        </row>
        <row r="170">
          <cell r="A170" t="str">
            <v>Jean-Philippe Mateta</v>
          </cell>
          <cell r="B170" t="str">
            <v>Mateta</v>
          </cell>
          <cell r="E170">
            <v>3.3382352941176467</v>
          </cell>
          <cell r="F170">
            <v>3.5628342245989302</v>
          </cell>
          <cell r="G170">
            <v>2</v>
          </cell>
          <cell r="H170">
            <v>3.3382352941176467</v>
          </cell>
          <cell r="I170">
            <v>3.5628342245989302</v>
          </cell>
          <cell r="J170">
            <v>0</v>
          </cell>
          <cell r="K170">
            <v>3.4056149732620318</v>
          </cell>
          <cell r="L170" t="str">
            <v>FWD</v>
          </cell>
          <cell r="M170" t="str">
            <v>CRY</v>
          </cell>
        </row>
        <row r="171">
          <cell r="A171" t="str">
            <v>Curtis Jones</v>
          </cell>
          <cell r="B171" t="str">
            <v>Jones</v>
          </cell>
          <cell r="C171" t="str">
            <v>C Jones</v>
          </cell>
          <cell r="E171">
            <v>3.161219290526347</v>
          </cell>
          <cell r="F171">
            <v>3.9745383867832853</v>
          </cell>
          <cell r="G171">
            <v>2.1541302235179787</v>
          </cell>
          <cell r="H171">
            <v>3.161219290526347</v>
          </cell>
          <cell r="I171">
            <v>3.9416909620991261</v>
          </cell>
          <cell r="J171">
            <v>0</v>
          </cell>
          <cell r="K171">
            <v>3.4052150194034283</v>
          </cell>
          <cell r="L171" t="str">
            <v>MID</v>
          </cell>
          <cell r="M171" t="str">
            <v>LIV</v>
          </cell>
        </row>
        <row r="172">
          <cell r="A172" t="str">
            <v>Raúl Jiménez</v>
          </cell>
          <cell r="B172" t="str">
            <v>Raúl</v>
          </cell>
          <cell r="C172" t="str">
            <v>Jimenez</v>
          </cell>
          <cell r="D172" t="str">
            <v>Raul Jimenez</v>
          </cell>
          <cell r="E172">
            <v>3.6095798569725868</v>
          </cell>
          <cell r="F172">
            <v>2.922899284862932</v>
          </cell>
          <cell r="G172">
            <v>2</v>
          </cell>
          <cell r="H172">
            <v>3.6095798569725868</v>
          </cell>
          <cell r="I172">
            <v>2.8343265792610248</v>
          </cell>
          <cell r="J172">
            <v>0</v>
          </cell>
          <cell r="K172">
            <v>3.4035756853396899</v>
          </cell>
          <cell r="L172" t="str">
            <v>FWD</v>
          </cell>
          <cell r="M172" t="str">
            <v>FUL</v>
          </cell>
        </row>
        <row r="173">
          <cell r="A173" t="str">
            <v>Jaidon Anthony</v>
          </cell>
          <cell r="B173" t="str">
            <v>Anthony</v>
          </cell>
          <cell r="E173">
            <v>3.2249466452399034</v>
          </cell>
          <cell r="F173">
            <v>3.8036187825067755</v>
          </cell>
          <cell r="G173">
            <v>2.9463587627822028</v>
          </cell>
          <cell r="H173">
            <v>3.2249466452399034</v>
          </cell>
          <cell r="I173">
            <v>3.7356970185334406</v>
          </cell>
          <cell r="J173">
            <v>3.6645857247414475</v>
          </cell>
          <cell r="K173">
            <v>3.398548286419965</v>
          </cell>
          <cell r="L173" t="str">
            <v>MID</v>
          </cell>
          <cell r="M173" t="str">
            <v>BOU</v>
          </cell>
        </row>
        <row r="174">
          <cell r="A174" t="str">
            <v>Frederico Rodrigues de Paula Santos</v>
          </cell>
          <cell r="B174" t="str">
            <v>Fred</v>
          </cell>
          <cell r="E174">
            <v>3.2129230377872413</v>
          </cell>
          <cell r="F174">
            <v>3.8295602605863186</v>
          </cell>
          <cell r="G174">
            <v>2.8842479060067547</v>
          </cell>
          <cell r="H174">
            <v>3.2129230377872413</v>
          </cell>
          <cell r="I174">
            <v>3.7361563517915308</v>
          </cell>
          <cell r="J174">
            <v>3.6928444859466536</v>
          </cell>
          <cell r="K174">
            <v>3.3979142046269644</v>
          </cell>
          <cell r="L174" t="str">
            <v>MID</v>
          </cell>
          <cell r="M174" t="str">
            <v>MUN</v>
          </cell>
        </row>
        <row r="175">
          <cell r="A175" t="str">
            <v>Rico Henry</v>
          </cell>
          <cell r="B175" t="str">
            <v>Henry</v>
          </cell>
          <cell r="E175">
            <v>3.5502908439648269</v>
          </cell>
          <cell r="F175">
            <v>3.041975308641975</v>
          </cell>
          <cell r="G175">
            <v>2.4711485002164362</v>
          </cell>
          <cell r="H175">
            <v>3.5502908439648269</v>
          </cell>
          <cell r="I175">
            <v>3.041975308641975</v>
          </cell>
          <cell r="J175">
            <v>3.0455930727869718</v>
          </cell>
          <cell r="K175">
            <v>3.3977961833679711</v>
          </cell>
          <cell r="L175" t="str">
            <v>DEF</v>
          </cell>
          <cell r="M175" t="str">
            <v>BRE</v>
          </cell>
        </row>
        <row r="176">
          <cell r="A176" t="str">
            <v>Eric Dier</v>
          </cell>
          <cell r="B176" t="str">
            <v>Dier</v>
          </cell>
          <cell r="E176">
            <v>3.5369625209886175</v>
          </cell>
          <cell r="F176">
            <v>3.0681818181818179</v>
          </cell>
          <cell r="G176">
            <v>2.4826505078423367</v>
          </cell>
          <cell r="H176">
            <v>3.5369625209886175</v>
          </cell>
          <cell r="I176">
            <v>3.0681818181818179</v>
          </cell>
          <cell r="J176">
            <v>3.0566468133427973</v>
          </cell>
          <cell r="K176">
            <v>3.3963283101465773</v>
          </cell>
          <cell r="L176" t="str">
            <v>DEF</v>
          </cell>
          <cell r="M176" t="str">
            <v>TOT</v>
          </cell>
        </row>
        <row r="177">
          <cell r="A177" t="str">
            <v>Angelo Ogbonna</v>
          </cell>
          <cell r="B177" t="str">
            <v>Ogbonna</v>
          </cell>
          <cell r="E177">
            <v>3.5042288023543358</v>
          </cell>
          <cell r="F177">
            <v>3.1377633711507293</v>
          </cell>
          <cell r="G177">
            <v>2.4406577702968506</v>
          </cell>
          <cell r="H177">
            <v>3.5042288023543358</v>
          </cell>
          <cell r="I177">
            <v>3.1377633711507293</v>
          </cell>
          <cell r="J177">
            <v>3.1863602828575068</v>
          </cell>
          <cell r="K177">
            <v>3.3942891729932536</v>
          </cell>
          <cell r="L177" t="str">
            <v>DEF</v>
          </cell>
          <cell r="M177" t="str">
            <v>WHU</v>
          </cell>
        </row>
        <row r="178">
          <cell r="A178" t="str">
            <v>Raphaël Varane</v>
          </cell>
          <cell r="B178" t="str">
            <v>R.Varane</v>
          </cell>
          <cell r="C178" t="str">
            <v>Raphael Varane</v>
          </cell>
          <cell r="E178">
            <v>3.3742724944762226</v>
          </cell>
          <cell r="F178">
            <v>3.4231171548117154</v>
          </cell>
          <cell r="G178">
            <v>2.2551701247479992</v>
          </cell>
          <cell r="H178">
            <v>3.3742724944762226</v>
          </cell>
          <cell r="I178">
            <v>3.4231171548117154</v>
          </cell>
          <cell r="J178">
            <v>3.4234760921534604</v>
          </cell>
          <cell r="K178">
            <v>3.3889258925768702</v>
          </cell>
          <cell r="L178" t="str">
            <v>DEF</v>
          </cell>
          <cell r="M178" t="str">
            <v>MUN</v>
          </cell>
        </row>
        <row r="179">
          <cell r="A179" t="str">
            <v>Michail Antonio</v>
          </cell>
          <cell r="B179" t="str">
            <v>Antonio</v>
          </cell>
          <cell r="E179">
            <v>3.3422455700172495</v>
          </cell>
          <cell r="F179">
            <v>3.4742041712403946</v>
          </cell>
          <cell r="G179">
            <v>3.4051358160683156</v>
          </cell>
          <cell r="H179">
            <v>3.3422455700172495</v>
          </cell>
          <cell r="I179">
            <v>3.457738748627881</v>
          </cell>
          <cell r="J179">
            <v>3.4886079134413395</v>
          </cell>
          <cell r="K179">
            <v>3.3818331503841925</v>
          </cell>
          <cell r="L179" t="str">
            <v>FWD</v>
          </cell>
          <cell r="M179" t="str">
            <v>WHU</v>
          </cell>
        </row>
        <row r="180">
          <cell r="A180" t="str">
            <v>Rodrigo Hernandez</v>
          </cell>
          <cell r="B180" t="str">
            <v>Rodrigo</v>
          </cell>
          <cell r="E180">
            <v>3.6273268511656958</v>
          </cell>
          <cell r="F180">
            <v>2.7872268606335786</v>
          </cell>
          <cell r="G180">
            <v>2.8375166389619753</v>
          </cell>
          <cell r="H180">
            <v>3.6273268511656958</v>
          </cell>
          <cell r="I180">
            <v>2.7454482995534177</v>
          </cell>
          <cell r="J180">
            <v>2.6928050508958763</v>
          </cell>
          <cell r="K180">
            <v>3.3752968540060602</v>
          </cell>
          <cell r="L180" t="str">
            <v>MID</v>
          </cell>
          <cell r="M180" t="str">
            <v>MCI</v>
          </cell>
        </row>
        <row r="181">
          <cell r="A181" t="str">
            <v>Maxwel Cornet</v>
          </cell>
          <cell r="B181" t="str">
            <v>Cornet</v>
          </cell>
          <cell r="E181">
            <v>3.6304918987224708</v>
          </cell>
          <cell r="F181">
            <v>2.7758620689655173</v>
          </cell>
          <cell r="G181">
            <v>2</v>
          </cell>
          <cell r="H181">
            <v>3.6304918987224708</v>
          </cell>
          <cell r="I181">
            <v>2.7758620689655173</v>
          </cell>
          <cell r="J181">
            <v>0</v>
          </cell>
          <cell r="K181">
            <v>3.3741029497953847</v>
          </cell>
          <cell r="L181" t="str">
            <v>MID</v>
          </cell>
          <cell r="M181" t="str">
            <v>WHU</v>
          </cell>
        </row>
        <row r="182">
          <cell r="A182" t="str">
            <v>Rodrigo Bentancur</v>
          </cell>
          <cell r="B182" t="str">
            <v>Bentancur</v>
          </cell>
          <cell r="E182">
            <v>3.0178665335372723</v>
          </cell>
          <cell r="F182">
            <v>4.1876004232472477</v>
          </cell>
          <cell r="G182">
            <v>2.6977261708167379</v>
          </cell>
          <cell r="H182">
            <v>3.0178665335372723</v>
          </cell>
          <cell r="I182">
            <v>4.067954696868755</v>
          </cell>
          <cell r="J182">
            <v>4.0602020538947388</v>
          </cell>
          <cell r="K182">
            <v>3.368786700450265</v>
          </cell>
          <cell r="L182" t="str">
            <v>MID</v>
          </cell>
          <cell r="M182" t="str">
            <v>TOT</v>
          </cell>
        </row>
        <row r="183">
          <cell r="A183" t="str">
            <v>Bernd Leno</v>
          </cell>
          <cell r="B183" t="str">
            <v>Leno</v>
          </cell>
          <cell r="E183">
            <v>3.1180893334797548</v>
          </cell>
          <cell r="F183">
            <v>3.9444444444444446</v>
          </cell>
          <cell r="G183">
            <v>2.3805555555555555</v>
          </cell>
          <cell r="H183">
            <v>3.1180893334797548</v>
          </cell>
          <cell r="I183">
            <v>3.9444444444444446</v>
          </cell>
          <cell r="J183">
            <v>3.9039727836257305</v>
          </cell>
          <cell r="K183">
            <v>3.3659958667691612</v>
          </cell>
          <cell r="L183" t="str">
            <v>GK</v>
          </cell>
          <cell r="M183" t="str">
            <v>FUL</v>
          </cell>
        </row>
        <row r="184">
          <cell r="A184" t="str">
            <v>Alex Iwobi</v>
          </cell>
          <cell r="B184" t="str">
            <v>Iwobi</v>
          </cell>
          <cell r="E184">
            <v>3.3199976464590435</v>
          </cell>
          <cell r="F184">
            <v>3.4672030030684886</v>
          </cell>
          <cell r="G184">
            <v>3.1157384084111435</v>
          </cell>
          <cell r="H184">
            <v>3.3199976464590435</v>
          </cell>
          <cell r="I184">
            <v>3.318733353063037</v>
          </cell>
          <cell r="J184">
            <v>3.404300769187623</v>
          </cell>
          <cell r="K184">
            <v>3.3641592534418772</v>
          </cell>
          <cell r="L184" t="str">
            <v>MID</v>
          </cell>
          <cell r="M184" t="str">
            <v>EVE</v>
          </cell>
        </row>
        <row r="185">
          <cell r="A185" t="str">
            <v>Kyle Walker</v>
          </cell>
          <cell r="B185" t="str">
            <v>Walker</v>
          </cell>
          <cell r="E185">
            <v>3.5106793909074403</v>
          </cell>
          <cell r="F185">
            <v>3.0030721966205833</v>
          </cell>
          <cell r="G185">
            <v>1.9992832386164925</v>
          </cell>
          <cell r="H185">
            <v>3.5106793909074403</v>
          </cell>
          <cell r="I185">
            <v>3.0030721966205833</v>
          </cell>
          <cell r="J185">
            <v>2.9480256491586476</v>
          </cell>
          <cell r="K185">
            <v>3.3583972326213827</v>
          </cell>
          <cell r="L185" t="str">
            <v>DEF</v>
          </cell>
          <cell r="M185" t="str">
            <v>MCI</v>
          </cell>
        </row>
        <row r="186">
          <cell r="A186" t="str">
            <v>Joel Matip</v>
          </cell>
          <cell r="B186" t="str">
            <v>Matip</v>
          </cell>
          <cell r="C186" t="str">
            <v>Joël Matip</v>
          </cell>
          <cell r="E186">
            <v>3.5774239821419815</v>
          </cell>
          <cell r="F186">
            <v>2.8377635197066908</v>
          </cell>
          <cell r="G186">
            <v>2.0591200733272226</v>
          </cell>
          <cell r="H186">
            <v>3.5774239821419815</v>
          </cell>
          <cell r="I186">
            <v>2.8377635197066908</v>
          </cell>
          <cell r="J186">
            <v>0</v>
          </cell>
          <cell r="K186">
            <v>3.3555258434113941</v>
          </cell>
          <cell r="L186" t="str">
            <v>DEF</v>
          </cell>
          <cell r="M186" t="str">
            <v>LIV</v>
          </cell>
        </row>
        <row r="187">
          <cell r="A187" t="str">
            <v>Sean Longstaff</v>
          </cell>
          <cell r="B187" t="str">
            <v>Longstaff</v>
          </cell>
          <cell r="E187">
            <v>3.3498149773359644</v>
          </cell>
          <cell r="F187">
            <v>3.3563075349471529</v>
          </cell>
          <cell r="G187">
            <v>2.8399994278667329</v>
          </cell>
          <cell r="H187">
            <v>3.3498149773359644</v>
          </cell>
          <cell r="I187">
            <v>3.2183770883054894</v>
          </cell>
          <cell r="J187">
            <v>3.1306112150829848</v>
          </cell>
          <cell r="K187">
            <v>3.3517627446193208</v>
          </cell>
          <cell r="L187" t="str">
            <v>MID</v>
          </cell>
          <cell r="M187" t="str">
            <v>NEW</v>
          </cell>
        </row>
        <row r="188">
          <cell r="A188" t="str">
            <v>Robin Olsen</v>
          </cell>
          <cell r="B188" t="str">
            <v>Olsen</v>
          </cell>
          <cell r="E188">
            <v>3.4016626004646717</v>
          </cell>
          <cell r="F188">
            <v>3.214285714285714</v>
          </cell>
          <cell r="G188">
            <v>2.3214285714285712</v>
          </cell>
          <cell r="H188">
            <v>3.4016626004646717</v>
          </cell>
          <cell r="I188">
            <v>3.214285714285714</v>
          </cell>
          <cell r="J188">
            <v>0</v>
          </cell>
          <cell r="K188">
            <v>3.3454495346109843</v>
          </cell>
          <cell r="L188" t="str">
            <v>GK</v>
          </cell>
          <cell r="M188" t="str">
            <v>AVL</v>
          </cell>
        </row>
        <row r="189">
          <cell r="A189" t="str">
            <v>Lukasz Fabianski</v>
          </cell>
          <cell r="B189" t="str">
            <v>Fabianski</v>
          </cell>
          <cell r="C189" t="str">
            <v>Łukasz Fabiański</v>
          </cell>
          <cell r="E189">
            <v>3.2716455139094287</v>
          </cell>
          <cell r="F189">
            <v>3.5107682417229187</v>
          </cell>
          <cell r="G189">
            <v>2.2462605807350262</v>
          </cell>
          <cell r="H189">
            <v>3.2716455139094287</v>
          </cell>
          <cell r="I189">
            <v>3.5107682417229187</v>
          </cell>
          <cell r="J189">
            <v>3.5738094440440533</v>
          </cell>
          <cell r="K189">
            <v>3.3433823322534755</v>
          </cell>
          <cell r="L189" t="str">
            <v>GK</v>
          </cell>
          <cell r="M189" t="str">
            <v>WHU</v>
          </cell>
        </row>
        <row r="190">
          <cell r="A190" t="str">
            <v>Bertrand Traoré</v>
          </cell>
          <cell r="B190" t="str">
            <v>Bertrand Traoré</v>
          </cell>
          <cell r="E190">
            <v>3.056702176207176</v>
          </cell>
          <cell r="F190">
            <v>3.9823008849557522</v>
          </cell>
          <cell r="G190">
            <v>2</v>
          </cell>
          <cell r="H190">
            <v>3.056702176207176</v>
          </cell>
          <cell r="I190">
            <v>3.9823008849557522</v>
          </cell>
          <cell r="J190">
            <v>0</v>
          </cell>
          <cell r="K190">
            <v>3.3343817888317484</v>
          </cell>
          <cell r="L190" t="str">
            <v>MID</v>
          </cell>
          <cell r="M190" t="str">
            <v>AVL</v>
          </cell>
        </row>
        <row r="191">
          <cell r="A191" t="str">
            <v>Ashley Young</v>
          </cell>
          <cell r="B191" t="str">
            <v>Young</v>
          </cell>
          <cell r="E191">
            <v>3.2462426948366638</v>
          </cell>
          <cell r="F191">
            <v>3.5125553914327918</v>
          </cell>
          <cell r="G191">
            <v>2.2276852142469679</v>
          </cell>
          <cell r="H191">
            <v>3.2462426948366638</v>
          </cell>
          <cell r="I191">
            <v>3.5125553914327918</v>
          </cell>
          <cell r="J191">
            <v>3.608061256229965</v>
          </cell>
          <cell r="K191">
            <v>3.3261365038155022</v>
          </cell>
          <cell r="L191" t="str">
            <v>DEF</v>
          </cell>
          <cell r="M191" t="str">
            <v>EVE</v>
          </cell>
        </row>
        <row r="192">
          <cell r="A192" t="str">
            <v>Dominic Calvert-Lewin</v>
          </cell>
          <cell r="B192" t="str">
            <v>Calvert-Lewin</v>
          </cell>
          <cell r="E192">
            <v>3.6245283018867922</v>
          </cell>
          <cell r="F192">
            <v>2.6072041166380786</v>
          </cell>
          <cell r="G192">
            <v>3.7919914125584437</v>
          </cell>
          <cell r="H192">
            <v>3.6245283018867922</v>
          </cell>
          <cell r="I192">
            <v>2.5728987993138936</v>
          </cell>
          <cell r="J192">
            <v>2.640719945787215</v>
          </cell>
          <cell r="K192">
            <v>3.3193310463121781</v>
          </cell>
          <cell r="L192" t="str">
            <v>FWD</v>
          </cell>
          <cell r="M192" t="str">
            <v>EVE</v>
          </cell>
        </row>
        <row r="193">
          <cell r="A193" t="str">
            <v>Joel Ward</v>
          </cell>
          <cell r="B193" t="str">
            <v>Ward</v>
          </cell>
          <cell r="E193">
            <v>3.4064462567285441</v>
          </cell>
          <cell r="F193">
            <v>3.0812250332889479</v>
          </cell>
          <cell r="G193">
            <v>2.2096086158106223</v>
          </cell>
          <cell r="H193">
            <v>3.4064462567285441</v>
          </cell>
          <cell r="I193">
            <v>3.0812250332889479</v>
          </cell>
          <cell r="J193">
            <v>3.1508770162374029</v>
          </cell>
          <cell r="K193">
            <v>3.3088798896966649</v>
          </cell>
          <cell r="L193" t="str">
            <v>DEF</v>
          </cell>
          <cell r="M193" t="str">
            <v>CRY</v>
          </cell>
        </row>
        <row r="194">
          <cell r="A194" t="str">
            <v>Adam Lallana</v>
          </cell>
          <cell r="B194" t="str">
            <v>Lallana</v>
          </cell>
          <cell r="E194">
            <v>3.1804279491391596</v>
          </cell>
          <cell r="F194">
            <v>3.6052998605299864</v>
          </cell>
          <cell r="G194">
            <v>2.3068340306834032</v>
          </cell>
          <cell r="H194">
            <v>3.1804279491391596</v>
          </cell>
          <cell r="I194">
            <v>3.6052998605299864</v>
          </cell>
          <cell r="J194">
            <v>0</v>
          </cell>
          <cell r="K194">
            <v>3.3078895225564073</v>
          </cell>
          <cell r="L194" t="str">
            <v>MID</v>
          </cell>
          <cell r="M194" t="str">
            <v>BHA</v>
          </cell>
        </row>
        <row r="195">
          <cell r="A195" t="str">
            <v>Carney Chukwuemeka</v>
          </cell>
          <cell r="B195" t="str">
            <v>Chukwuemeka</v>
          </cell>
          <cell r="E195">
            <v>3.1000650080655832</v>
          </cell>
          <cell r="F195">
            <v>3.7894736842105261</v>
          </cell>
          <cell r="G195">
            <v>2</v>
          </cell>
          <cell r="H195">
            <v>3.1000650080655832</v>
          </cell>
          <cell r="I195">
            <v>3.7894736842105261</v>
          </cell>
          <cell r="J195">
            <v>0</v>
          </cell>
          <cell r="K195">
            <v>3.3068876109090661</v>
          </cell>
          <cell r="L195" t="str">
            <v>MID</v>
          </cell>
          <cell r="M195" t="str">
            <v>CHE</v>
          </cell>
        </row>
        <row r="196">
          <cell r="A196" t="str">
            <v>Gianluca Scamacca</v>
          </cell>
          <cell r="B196" t="str">
            <v>Scamacca</v>
          </cell>
          <cell r="E196">
            <v>3.3109160003948279</v>
          </cell>
          <cell r="F196">
            <v>3.2940430362254469</v>
          </cell>
          <cell r="G196">
            <v>2.3256934162471623</v>
          </cell>
          <cell r="H196">
            <v>3.3109160003948279</v>
          </cell>
          <cell r="I196">
            <v>3.2497285559174811</v>
          </cell>
          <cell r="J196">
            <v>0</v>
          </cell>
          <cell r="K196">
            <v>3.3058541111440136</v>
          </cell>
          <cell r="L196" t="str">
            <v>FWD</v>
          </cell>
          <cell r="M196" t="str">
            <v>WHU</v>
          </cell>
        </row>
        <row r="197">
          <cell r="A197" t="str">
            <v>Mathias Jensen</v>
          </cell>
          <cell r="B197" t="str">
            <v>Jensen</v>
          </cell>
          <cell r="E197">
            <v>3.1650448078361126</v>
          </cell>
          <cell r="F197">
            <v>3.6248012718600959</v>
          </cell>
          <cell r="G197">
            <v>2.8525798941268152</v>
          </cell>
          <cell r="H197">
            <v>3.1650448078361126</v>
          </cell>
          <cell r="I197">
            <v>3.5764705882352943</v>
          </cell>
          <cell r="J197">
            <v>3.5593853214413129</v>
          </cell>
          <cell r="K197">
            <v>3.3029717470433075</v>
          </cell>
          <cell r="L197" t="str">
            <v>MID</v>
          </cell>
          <cell r="M197" t="str">
            <v>BRE</v>
          </cell>
        </row>
        <row r="198">
          <cell r="A198" t="str">
            <v>Josh Dasilva</v>
          </cell>
          <cell r="B198" t="str">
            <v>Dasilva</v>
          </cell>
          <cell r="C198" t="str">
            <v>Pelenda Joshua Da Silva</v>
          </cell>
          <cell r="E198">
            <v>2.9765996982144101</v>
          </cell>
          <cell r="F198">
            <v>4.0175054704595192</v>
          </cell>
          <cell r="G198">
            <v>2.6705541192736373</v>
          </cell>
          <cell r="H198">
            <v>2.9765996982144101</v>
          </cell>
          <cell r="I198">
            <v>4.0175054704595192</v>
          </cell>
          <cell r="J198">
            <v>3.9436854236671604</v>
          </cell>
          <cell r="K198">
            <v>3.2888714298879429</v>
          </cell>
          <cell r="L198" t="str">
            <v>MID</v>
          </cell>
          <cell r="M198" t="str">
            <v>BRE</v>
          </cell>
        </row>
        <row r="199">
          <cell r="A199" t="str">
            <v>Kalvin Phillips</v>
          </cell>
          <cell r="B199" t="str">
            <v>Phillips</v>
          </cell>
          <cell r="C199" t="str">
            <v>K Phillips</v>
          </cell>
          <cell r="E199">
            <v>2.7444180410044949</v>
          </cell>
          <cell r="F199">
            <v>4.5463917525773203</v>
          </cell>
          <cell r="G199">
            <v>1.6597938144329896</v>
          </cell>
          <cell r="H199">
            <v>2.7444180410044949</v>
          </cell>
          <cell r="I199">
            <v>4.3298969072164954</v>
          </cell>
          <cell r="J199">
            <v>0</v>
          </cell>
          <cell r="K199">
            <v>3.2850101544763426</v>
          </cell>
          <cell r="L199" t="str">
            <v>MID</v>
          </cell>
          <cell r="M199" t="str">
            <v>MCI</v>
          </cell>
        </row>
        <row r="200">
          <cell r="A200" t="str">
            <v>Davinson Sánchez</v>
          </cell>
          <cell r="B200" t="str">
            <v>Sánchez</v>
          </cell>
          <cell r="C200" t="str">
            <v>D Sanchez</v>
          </cell>
          <cell r="D200" t="str">
            <v>Davinson Sanchez</v>
          </cell>
          <cell r="E200">
            <v>3.5394864346204562</v>
          </cell>
          <cell r="F200">
            <v>2.6745283018867925</v>
          </cell>
          <cell r="G200">
            <v>1.9940300707547172</v>
          </cell>
          <cell r="H200">
            <v>3.5394864346204562</v>
          </cell>
          <cell r="I200">
            <v>2.6745283018867925</v>
          </cell>
          <cell r="J200">
            <v>0</v>
          </cell>
          <cell r="K200">
            <v>3.2799989948003567</v>
          </cell>
          <cell r="L200" t="str">
            <v>DEF</v>
          </cell>
          <cell r="M200" t="str">
            <v>TOT</v>
          </cell>
        </row>
        <row r="201">
          <cell r="A201" t="str">
            <v>Lisandro Martínez</v>
          </cell>
          <cell r="B201" t="str">
            <v>Martinez</v>
          </cell>
          <cell r="C201" t="str">
            <v>L Martinez</v>
          </cell>
          <cell r="D201" t="str">
            <v>Lisandro Martinez</v>
          </cell>
          <cell r="E201">
            <v>3.2502058709137724</v>
          </cell>
          <cell r="F201">
            <v>3.335068622811169</v>
          </cell>
          <cell r="G201">
            <v>2.1412795348423428</v>
          </cell>
          <cell r="H201">
            <v>3.2502058709137724</v>
          </cell>
          <cell r="I201">
            <v>3.335068622811169</v>
          </cell>
          <cell r="J201">
            <v>3.3320969112682364</v>
          </cell>
          <cell r="K201">
            <v>3.2756646964829912</v>
          </cell>
          <cell r="L201" t="str">
            <v>DEF</v>
          </cell>
          <cell r="M201" t="str">
            <v>MUN</v>
          </cell>
        </row>
        <row r="202">
          <cell r="A202" t="str">
            <v>Seamus Coleman</v>
          </cell>
          <cell r="B202" t="str">
            <v>Coleman</v>
          </cell>
          <cell r="C202" t="str">
            <v>Séamus Coleman</v>
          </cell>
          <cell r="E202">
            <v>3.4193833381352898</v>
          </cell>
          <cell r="F202">
            <v>2.9328899637243047</v>
          </cell>
          <cell r="G202">
            <v>2.3860209586494663</v>
          </cell>
          <cell r="H202">
            <v>3.4193833381352898</v>
          </cell>
          <cell r="I202">
            <v>2.9328899637243047</v>
          </cell>
          <cell r="J202">
            <v>3.0164040348970249</v>
          </cell>
          <cell r="K202">
            <v>3.2734353258119944</v>
          </cell>
          <cell r="L202" t="str">
            <v>DEF</v>
          </cell>
          <cell r="M202" t="str">
            <v>EVE</v>
          </cell>
        </row>
        <row r="203">
          <cell r="A203" t="str">
            <v>Youri Tielemans</v>
          </cell>
          <cell r="B203" t="str">
            <v>Tielemans</v>
          </cell>
          <cell r="E203">
            <v>3.3434430596388203</v>
          </cell>
          <cell r="F203">
            <v>3.1016438052747324</v>
          </cell>
          <cell r="G203">
            <v>3.0579401209175603</v>
          </cell>
          <cell r="H203">
            <v>3.3434430596388203</v>
          </cell>
          <cell r="I203">
            <v>3.012387868432294</v>
          </cell>
          <cell r="J203">
            <v>3.0429240657445664</v>
          </cell>
          <cell r="K203">
            <v>3.2709032833295937</v>
          </cell>
          <cell r="L203" t="str">
            <v>MID</v>
          </cell>
          <cell r="M203" t="str">
            <v>AVL</v>
          </cell>
        </row>
        <row r="204">
          <cell r="A204" t="str">
            <v>Ezri Konsa Ngoyo</v>
          </cell>
          <cell r="B204" t="str">
            <v>Konsa</v>
          </cell>
          <cell r="C204" t="str">
            <v>Ezri Konsa</v>
          </cell>
          <cell r="E204">
            <v>3.3798071157692435</v>
          </cell>
          <cell r="F204">
            <v>2.9801324503311255</v>
          </cell>
          <cell r="G204">
            <v>2.2462223617625678</v>
          </cell>
          <cell r="H204">
            <v>3.3798071157692435</v>
          </cell>
          <cell r="I204">
            <v>2.9801324503311255</v>
          </cell>
          <cell r="J204">
            <v>3.0271263157894719</v>
          </cell>
          <cell r="K204">
            <v>3.2599047161378079</v>
          </cell>
          <cell r="L204" t="str">
            <v>DEF</v>
          </cell>
          <cell r="M204" t="str">
            <v>AVL</v>
          </cell>
        </row>
        <row r="205">
          <cell r="A205" t="str">
            <v>Emmanuel Dennis</v>
          </cell>
          <cell r="B205" t="str">
            <v>Dennis</v>
          </cell>
          <cell r="C205" t="str">
            <v>E Dennis</v>
          </cell>
          <cell r="E205">
            <v>2.9545839210155149</v>
          </cell>
          <cell r="F205">
            <v>3.9605077574047955</v>
          </cell>
          <cell r="G205">
            <v>2</v>
          </cell>
          <cell r="H205">
            <v>2.9545839210155149</v>
          </cell>
          <cell r="I205">
            <v>3.9605077574047955</v>
          </cell>
          <cell r="J205">
            <v>0</v>
          </cell>
          <cell r="K205">
            <v>3.2563610719322993</v>
          </cell>
          <cell r="L205" t="str">
            <v>FWD</v>
          </cell>
          <cell r="M205" t="str">
            <v>NFO</v>
          </cell>
        </row>
        <row r="206">
          <cell r="A206" t="str">
            <v>Issa Diop</v>
          </cell>
          <cell r="B206" t="str">
            <v>Diop</v>
          </cell>
          <cell r="E206">
            <v>3.1482529005135871</v>
          </cell>
          <cell r="F206">
            <v>3.5014940239043826</v>
          </cell>
          <cell r="G206">
            <v>2.3974277157164061</v>
          </cell>
          <cell r="H206">
            <v>3.1482529005135871</v>
          </cell>
          <cell r="I206">
            <v>3.5014940239043826</v>
          </cell>
          <cell r="J206">
            <v>3.4586774252380454</v>
          </cell>
          <cell r="K206">
            <v>3.254225237530826</v>
          </cell>
          <cell r="L206" t="str">
            <v>DEF</v>
          </cell>
          <cell r="M206" t="str">
            <v>FUL</v>
          </cell>
        </row>
        <row r="207">
          <cell r="A207" t="str">
            <v>Keane Lewis-Potter</v>
          </cell>
          <cell r="B207" t="str">
            <v>Lewis-Potter</v>
          </cell>
          <cell r="E207">
            <v>3.4710339280273068</v>
          </cell>
          <cell r="F207">
            <v>2.728434504792332</v>
          </cell>
          <cell r="G207">
            <v>2</v>
          </cell>
          <cell r="H207">
            <v>3.4710339280273068</v>
          </cell>
          <cell r="I207">
            <v>2.728434504792332</v>
          </cell>
          <cell r="J207">
            <v>0</v>
          </cell>
          <cell r="K207">
            <v>3.2482541010568138</v>
          </cell>
          <cell r="L207" t="str">
            <v>MID</v>
          </cell>
          <cell r="M207" t="str">
            <v>BRE</v>
          </cell>
        </row>
        <row r="208">
          <cell r="A208" t="str">
            <v>Declan Rice</v>
          </cell>
          <cell r="B208" t="str">
            <v>Rice</v>
          </cell>
          <cell r="E208">
            <v>3.1782383369365212</v>
          </cell>
          <cell r="F208">
            <v>3.3502444987775064</v>
          </cell>
          <cell r="G208">
            <v>2.7948132539639219</v>
          </cell>
          <cell r="H208">
            <v>3.1782383369365212</v>
          </cell>
          <cell r="I208">
            <v>3.190709046454768</v>
          </cell>
          <cell r="J208">
            <v>3.1779899232958688</v>
          </cell>
          <cell r="K208">
            <v>3.2298401854888166</v>
          </cell>
          <cell r="L208" t="str">
            <v>MID</v>
          </cell>
          <cell r="M208" t="str">
            <v>ARS</v>
          </cell>
        </row>
        <row r="209">
          <cell r="A209" t="str">
            <v>Tariq Lamptey</v>
          </cell>
          <cell r="B209" t="str">
            <v>Lamptey</v>
          </cell>
          <cell r="E209">
            <v>3.2663338169106231</v>
          </cell>
          <cell r="F209">
            <v>3.143507972665148</v>
          </cell>
          <cell r="G209">
            <v>1.8587699316628701</v>
          </cell>
          <cell r="H209">
            <v>3.2663338169106231</v>
          </cell>
          <cell r="I209">
            <v>3.143507972665148</v>
          </cell>
          <cell r="J209">
            <v>0</v>
          </cell>
          <cell r="K209">
            <v>3.2294860636369807</v>
          </cell>
          <cell r="L209" t="str">
            <v>DEF</v>
          </cell>
          <cell r="M209" t="str">
            <v>BHA</v>
          </cell>
        </row>
        <row r="210">
          <cell r="A210" t="str">
            <v>Christian Nørgaard</v>
          </cell>
          <cell r="B210" t="str">
            <v>Nørgaard</v>
          </cell>
          <cell r="C210" t="str">
            <v>Norgaard</v>
          </cell>
          <cell r="E210">
            <v>3.1270941867995181</v>
          </cell>
          <cell r="F210">
            <v>3.438100640142614</v>
          </cell>
          <cell r="G210">
            <v>2.7921202341702247</v>
          </cell>
          <cell r="H210">
            <v>3.1270941867995181</v>
          </cell>
          <cell r="I210">
            <v>3.3425978445830973</v>
          </cell>
          <cell r="J210">
            <v>3.3242578898408821</v>
          </cell>
          <cell r="K210">
            <v>3.2203961228024469</v>
          </cell>
          <cell r="L210" t="str">
            <v>MID</v>
          </cell>
          <cell r="M210" t="str">
            <v>BRE</v>
          </cell>
        </row>
        <row r="211">
          <cell r="A211" t="str">
            <v>Tyrick Mitchell</v>
          </cell>
          <cell r="B211" t="str">
            <v>Mitchell</v>
          </cell>
          <cell r="E211">
            <v>3.4191489842407061</v>
          </cell>
          <cell r="F211">
            <v>2.7040498442367604</v>
          </cell>
          <cell r="G211">
            <v>2.2307382302285905</v>
          </cell>
          <cell r="H211">
            <v>3.4191489842407061</v>
          </cell>
          <cell r="I211">
            <v>2.7040498442367604</v>
          </cell>
          <cell r="J211">
            <v>2.7669421628647899</v>
          </cell>
          <cell r="K211">
            <v>3.2046192422395223</v>
          </cell>
          <cell r="L211" t="str">
            <v>DEF</v>
          </cell>
          <cell r="M211" t="str">
            <v>CRY</v>
          </cell>
        </row>
        <row r="212">
          <cell r="A212" t="str">
            <v>Lucas Digne</v>
          </cell>
          <cell r="B212" t="str">
            <v>Digne</v>
          </cell>
          <cell r="E212">
            <v>3.4991396879022125</v>
          </cell>
          <cell r="F212">
            <v>2.5134048257372656</v>
          </cell>
          <cell r="G212">
            <v>2.3083394505537083</v>
          </cell>
          <cell r="H212">
            <v>3.4991396879022125</v>
          </cell>
          <cell r="I212">
            <v>2.5134048257372656</v>
          </cell>
          <cell r="J212">
            <v>2.5360412432546067</v>
          </cell>
          <cell r="K212">
            <v>3.2034192292527282</v>
          </cell>
          <cell r="L212" t="str">
            <v>DEF</v>
          </cell>
          <cell r="M212" t="str">
            <v>AVL</v>
          </cell>
        </row>
        <row r="213">
          <cell r="A213" t="str">
            <v>Mykhailo Mudryk</v>
          </cell>
          <cell r="B213" t="str">
            <v>Mudryk</v>
          </cell>
          <cell r="E213">
            <v>3.4492552881701406</v>
          </cell>
          <cell r="F213">
            <v>2.5565934065934064</v>
          </cell>
          <cell r="G213">
            <v>1.897010989010989</v>
          </cell>
          <cell r="H213">
            <v>3.4492552881701406</v>
          </cell>
          <cell r="I213">
            <v>2.5384615384615383</v>
          </cell>
          <cell r="J213">
            <v>0</v>
          </cell>
          <cell r="K213">
            <v>3.1814567236971203</v>
          </cell>
          <cell r="L213" t="str">
            <v>MID</v>
          </cell>
          <cell r="M213" t="str">
            <v>CHE</v>
          </cell>
        </row>
        <row r="214">
          <cell r="A214" t="str">
            <v>Max Kilman</v>
          </cell>
          <cell r="B214" t="str">
            <v>Kilman</v>
          </cell>
          <cell r="E214">
            <v>3.2866172908943119</v>
          </cell>
          <cell r="F214">
            <v>2.9334744481403083</v>
          </cell>
          <cell r="G214">
            <v>2.4713409150416314</v>
          </cell>
          <cell r="H214">
            <v>3.2866172908943119</v>
          </cell>
          <cell r="I214">
            <v>2.9334744481403083</v>
          </cell>
          <cell r="J214">
            <v>2.9051420255598166</v>
          </cell>
          <cell r="K214">
            <v>3.1806744380681105</v>
          </cell>
          <cell r="L214" t="str">
            <v>DEF</v>
          </cell>
          <cell r="M214" t="str">
            <v>WOL</v>
          </cell>
        </row>
        <row r="215">
          <cell r="A215" t="str">
            <v>Pierre-Emile Højbjerg</v>
          </cell>
          <cell r="B215" t="str">
            <v>Højbjerg</v>
          </cell>
          <cell r="C215" t="str">
            <v>Pierre Højbjerg</v>
          </cell>
          <cell r="D215" t="str">
            <v>Pierre-Emile Hojbjerg</v>
          </cell>
          <cell r="E215">
            <v>3.0114715848077691</v>
          </cell>
          <cell r="F215">
            <v>3.5718574622439201</v>
          </cell>
          <cell r="G215">
            <v>2.6970866718264856</v>
          </cell>
          <cell r="H215">
            <v>3.0114715848077691</v>
          </cell>
          <cell r="I215">
            <v>3.4110507824976044</v>
          </cell>
          <cell r="J215">
            <v>3.4022818685807472</v>
          </cell>
          <cell r="K215">
            <v>3.1795873480386145</v>
          </cell>
          <cell r="L215" t="str">
            <v>MID</v>
          </cell>
          <cell r="M215" t="str">
            <v>TOT</v>
          </cell>
        </row>
        <row r="216">
          <cell r="A216" t="str">
            <v>César Azpilicueta</v>
          </cell>
          <cell r="B216" t="str">
            <v>Azpilicueta</v>
          </cell>
          <cell r="C216" t="str">
            <v>Cesar Azpilicueta</v>
          </cell>
          <cell r="E216">
            <v>3.4823674200464718</v>
          </cell>
          <cell r="F216">
            <v>2.4260355029585798</v>
          </cell>
          <cell r="G216">
            <v>2.3694057146924066</v>
          </cell>
          <cell r="H216">
            <v>3.4823674200464718</v>
          </cell>
          <cell r="I216">
            <v>2.4260355029585798</v>
          </cell>
          <cell r="J216">
            <v>2.3825024961224281</v>
          </cell>
          <cell r="K216">
            <v>3.1654678449201041</v>
          </cell>
          <cell r="L216" t="str">
            <v>DEF</v>
          </cell>
          <cell r="M216" t="str">
            <v>CHE</v>
          </cell>
        </row>
        <row r="217">
          <cell r="A217" t="str">
            <v>Craig Dawson</v>
          </cell>
          <cell r="B217" t="str">
            <v>Dawson</v>
          </cell>
          <cell r="E217">
            <v>3.157319597032048</v>
          </cell>
          <cell r="F217">
            <v>3.1630740393626993</v>
          </cell>
          <cell r="G217">
            <v>2.2024367385192125</v>
          </cell>
          <cell r="H217">
            <v>3.157319597032048</v>
          </cell>
          <cell r="I217">
            <v>3.1630740393626993</v>
          </cell>
          <cell r="J217">
            <v>0</v>
          </cell>
          <cell r="K217">
            <v>3.159045929731243</v>
          </cell>
          <cell r="L217" t="str">
            <v>DEF</v>
          </cell>
          <cell r="M217" t="str">
            <v>WOL</v>
          </cell>
        </row>
        <row r="218">
          <cell r="A218" t="str">
            <v>Mohamed Elneny</v>
          </cell>
          <cell r="B218" t="str">
            <v>M.Elneny</v>
          </cell>
          <cell r="E218">
            <v>2.3128960386480126</v>
          </cell>
          <cell r="F218">
            <v>5.1081081081081088</v>
          </cell>
          <cell r="G218">
            <v>2</v>
          </cell>
          <cell r="H218">
            <v>2.3128960386480126</v>
          </cell>
          <cell r="I218">
            <v>4.8648648648648649</v>
          </cell>
          <cell r="J218">
            <v>0</v>
          </cell>
          <cell r="K218">
            <v>3.1514596594860413</v>
          </cell>
          <cell r="L218" t="str">
            <v>MID</v>
          </cell>
          <cell r="M218" t="str">
            <v>ARS</v>
          </cell>
        </row>
        <row r="219">
          <cell r="A219" t="str">
            <v>Anthony Elanga</v>
          </cell>
          <cell r="B219" t="str">
            <v>Elanga</v>
          </cell>
          <cell r="E219">
            <v>3.0927981021347444</v>
          </cell>
          <cell r="F219">
            <v>3.2541966426858511</v>
          </cell>
          <cell r="G219">
            <v>2</v>
          </cell>
          <cell r="H219">
            <v>3.0927981021347444</v>
          </cell>
          <cell r="I219">
            <v>3.2541966426858511</v>
          </cell>
          <cell r="J219">
            <v>0</v>
          </cell>
          <cell r="K219">
            <v>3.1412176643000764</v>
          </cell>
          <cell r="L219" t="str">
            <v>MID</v>
          </cell>
          <cell r="M219" t="str">
            <v>NFO</v>
          </cell>
        </row>
        <row r="220">
          <cell r="A220" t="str">
            <v>Marc Cucurella Saseta</v>
          </cell>
          <cell r="B220" t="str">
            <v>Cucurella</v>
          </cell>
          <cell r="C220" t="str">
            <v>Marc Cucurella</v>
          </cell>
          <cell r="E220">
            <v>3.1989066700024735</v>
          </cell>
          <cell r="F220">
            <v>2.9988016776512878</v>
          </cell>
          <cell r="G220">
            <v>2.059958291853297</v>
          </cell>
          <cell r="H220">
            <v>3.1989066700024735</v>
          </cell>
          <cell r="I220">
            <v>2.9988016776512878</v>
          </cell>
          <cell r="J220">
            <v>2.9530694932123849</v>
          </cell>
          <cell r="K220">
            <v>3.1388751722971175</v>
          </cell>
          <cell r="L220" t="str">
            <v>DEF</v>
          </cell>
          <cell r="M220" t="str">
            <v>CHE</v>
          </cell>
        </row>
        <row r="221">
          <cell r="A221" t="str">
            <v>Jordan Pickford</v>
          </cell>
          <cell r="B221" t="str">
            <v>Pickford</v>
          </cell>
          <cell r="E221">
            <v>3.031113479985454</v>
          </cell>
          <cell r="F221">
            <v>3.3513513513513513</v>
          </cell>
          <cell r="G221">
            <v>2.0987951906116642</v>
          </cell>
          <cell r="H221">
            <v>3.031113479985454</v>
          </cell>
          <cell r="I221">
            <v>3.3513513513513513</v>
          </cell>
          <cell r="J221">
            <v>3.4509489274537692</v>
          </cell>
          <cell r="K221">
            <v>3.127184841395223</v>
          </cell>
          <cell r="L221" t="str">
            <v>GK</v>
          </cell>
          <cell r="M221" t="str">
            <v>EVE</v>
          </cell>
        </row>
        <row r="222">
          <cell r="A222" t="str">
            <v>Jordan Ayew</v>
          </cell>
          <cell r="B222" t="str">
            <v>J.Ayew</v>
          </cell>
          <cell r="E222">
            <v>3.0800478246047671</v>
          </cell>
          <cell r="F222">
            <v>3.2355362843665127</v>
          </cell>
          <cell r="G222">
            <v>2.7754923897399326</v>
          </cell>
          <cell r="H222">
            <v>3.0800478246047671</v>
          </cell>
          <cell r="I222">
            <v>3.1491875923190551</v>
          </cell>
          <cell r="J222">
            <v>3.1698201909785539</v>
          </cell>
          <cell r="K222">
            <v>3.1266943625332906</v>
          </cell>
          <cell r="L222" t="str">
            <v>MID</v>
          </cell>
          <cell r="M222" t="str">
            <v>CRY</v>
          </cell>
        </row>
        <row r="223">
          <cell r="A223" t="str">
            <v>Harvey Elliott</v>
          </cell>
          <cell r="B223" t="str">
            <v>Elliott</v>
          </cell>
          <cell r="E223">
            <v>3.2547429427477916</v>
          </cell>
          <cell r="F223">
            <v>2.8210000000000006</v>
          </cell>
          <cell r="G223">
            <v>2.9381089959865569</v>
          </cell>
          <cell r="H223">
            <v>3.2547429427477916</v>
          </cell>
          <cell r="I223">
            <v>2.7900000000000009</v>
          </cell>
          <cell r="J223">
            <v>2.7679421855320259</v>
          </cell>
          <cell r="K223">
            <v>3.1246200599234544</v>
          </cell>
          <cell r="L223" t="str">
            <v>MID</v>
          </cell>
          <cell r="M223" t="str">
            <v>LIV</v>
          </cell>
        </row>
        <row r="224">
          <cell r="A224" t="str">
            <v>Joachim Andersen</v>
          </cell>
          <cell r="B224" t="str">
            <v>Andersen</v>
          </cell>
          <cell r="E224">
            <v>3.3891549224442001</v>
          </cell>
          <cell r="F224">
            <v>2.5017972681524085</v>
          </cell>
          <cell r="G224">
            <v>2.1622549802489681</v>
          </cell>
          <cell r="H224">
            <v>3.3891549224442001</v>
          </cell>
          <cell r="I224">
            <v>2.5017972681524085</v>
          </cell>
          <cell r="J224">
            <v>2.5617577116046775</v>
          </cell>
          <cell r="K224">
            <v>3.1229476261566624</v>
          </cell>
          <cell r="L224" t="str">
            <v>DEF</v>
          </cell>
          <cell r="M224" t="str">
            <v>CRY</v>
          </cell>
        </row>
        <row r="225">
          <cell r="A225" t="str">
            <v>Ibrahima Konaté</v>
          </cell>
          <cell r="B225" t="str">
            <v>Konaté</v>
          </cell>
          <cell r="E225">
            <v>3.222673484565612</v>
          </cell>
          <cell r="F225">
            <v>2.8433268858800766</v>
          </cell>
          <cell r="G225">
            <v>2.1307671313826897</v>
          </cell>
          <cell r="H225">
            <v>3.222673484565612</v>
          </cell>
          <cell r="I225">
            <v>2.8433268858800766</v>
          </cell>
          <cell r="J225">
            <v>2.8219034861638641</v>
          </cell>
          <cell r="K225">
            <v>3.1088695049599511</v>
          </cell>
          <cell r="L225" t="str">
            <v>DEF</v>
          </cell>
          <cell r="M225" t="str">
            <v>LIV</v>
          </cell>
        </row>
        <row r="226">
          <cell r="A226" t="str">
            <v>Rayan Aït-Nouri</v>
          </cell>
          <cell r="B226" t="str">
            <v>Aït-Nouri</v>
          </cell>
          <cell r="C226" t="str">
            <v>Rayan Ait-Nouri</v>
          </cell>
          <cell r="D226" t="str">
            <v>Rayan Aït Nouri</v>
          </cell>
          <cell r="E226">
            <v>3.1050040017917411</v>
          </cell>
          <cell r="F226">
            <v>3.1124648547328961</v>
          </cell>
          <cell r="G226">
            <v>1.6828491096532334</v>
          </cell>
          <cell r="H226">
            <v>3.1050040017917411</v>
          </cell>
          <cell r="I226">
            <v>3.1124648547328961</v>
          </cell>
          <cell r="J226">
            <v>0</v>
          </cell>
          <cell r="K226">
            <v>3.1072422576740872</v>
          </cell>
          <cell r="L226" t="str">
            <v>DEF</v>
          </cell>
          <cell r="M226" t="str">
            <v>WOL</v>
          </cell>
        </row>
        <row r="227">
          <cell r="A227" t="str">
            <v>Kristoffer Ajer</v>
          </cell>
          <cell r="B227" t="str">
            <v>Ajer</v>
          </cell>
          <cell r="E227">
            <v>3.0536065368397534</v>
          </cell>
          <cell r="F227">
            <v>3.2306684141546524</v>
          </cell>
          <cell r="G227">
            <v>2</v>
          </cell>
          <cell r="H227">
            <v>3.0536065368397534</v>
          </cell>
          <cell r="I227">
            <v>3.2306684141546524</v>
          </cell>
          <cell r="J227">
            <v>0</v>
          </cell>
          <cell r="K227">
            <v>3.1067251000342226</v>
          </cell>
          <cell r="L227" t="str">
            <v>DEF</v>
          </cell>
          <cell r="M227" t="str">
            <v>BRE</v>
          </cell>
        </row>
        <row r="228">
          <cell r="A228" t="str">
            <v>Ben Johnson</v>
          </cell>
          <cell r="B228" t="str">
            <v>Johnson</v>
          </cell>
          <cell r="E228">
            <v>3.2484586514111218</v>
          </cell>
          <cell r="F228">
            <v>2.7651162790697676</v>
          </cell>
          <cell r="G228">
            <v>2.0953488372093023</v>
          </cell>
          <cell r="H228">
            <v>3.2484586514111218</v>
          </cell>
          <cell r="I228">
            <v>2.7651162790697676</v>
          </cell>
          <cell r="J228">
            <v>0</v>
          </cell>
          <cell r="K228">
            <v>3.1034559397087156</v>
          </cell>
          <cell r="L228" t="str">
            <v>DEF</v>
          </cell>
          <cell r="M228" t="str">
            <v>WHU</v>
          </cell>
        </row>
        <row r="229">
          <cell r="A229" t="str">
            <v>Odsonne Edouard</v>
          </cell>
          <cell r="B229" t="str">
            <v>Edouard</v>
          </cell>
          <cell r="C229" t="str">
            <v>Odsonne Édouard</v>
          </cell>
          <cell r="E229">
            <v>2.9489932885906045</v>
          </cell>
          <cell r="F229">
            <v>3.4567953020134228</v>
          </cell>
          <cell r="G229">
            <v>2.970578185186473</v>
          </cell>
          <cell r="H229">
            <v>2.9489932885906045</v>
          </cell>
          <cell r="I229">
            <v>3.439597315436242</v>
          </cell>
          <cell r="J229">
            <v>3.4409365793852373</v>
          </cell>
          <cell r="K229">
            <v>3.1013338926174496</v>
          </cell>
          <cell r="L229" t="str">
            <v>FWD</v>
          </cell>
          <cell r="M229" t="str">
            <v>CRY</v>
          </cell>
        </row>
        <row r="230">
          <cell r="A230" t="str">
            <v>Norberto Murara Neto</v>
          </cell>
          <cell r="B230" t="str">
            <v>Neto</v>
          </cell>
          <cell r="E230">
            <v>2.9560074943578116</v>
          </cell>
          <cell r="F230">
            <v>3.4314465408805028</v>
          </cell>
          <cell r="G230">
            <v>2.1702740896032302</v>
          </cell>
          <cell r="H230">
            <v>2.9560074943578116</v>
          </cell>
          <cell r="I230">
            <v>3.4314465408805028</v>
          </cell>
          <cell r="J230">
            <v>3.4108412462098632</v>
          </cell>
          <cell r="K230">
            <v>3.0986392083146193</v>
          </cell>
          <cell r="L230" t="str">
            <v>GK</v>
          </cell>
          <cell r="M230" t="str">
            <v>BOU</v>
          </cell>
        </row>
        <row r="231">
          <cell r="A231" t="str">
            <v>Trevoh Chalobah</v>
          </cell>
          <cell r="B231" t="str">
            <v>Chalobah</v>
          </cell>
          <cell r="E231">
            <v>3.2877982213289587</v>
          </cell>
          <cell r="F231">
            <v>2.6321049344159899</v>
          </cell>
          <cell r="G231">
            <v>2.1815894684011972</v>
          </cell>
          <cell r="H231">
            <v>3.2877982213289587</v>
          </cell>
          <cell r="I231">
            <v>2.6321049344159899</v>
          </cell>
          <cell r="J231">
            <v>2.5837739903116002</v>
          </cell>
          <cell r="K231">
            <v>3.0910902352550678</v>
          </cell>
          <cell r="L231" t="str">
            <v>DEF</v>
          </cell>
          <cell r="M231" t="str">
            <v>CHE</v>
          </cell>
        </row>
        <row r="232">
          <cell r="A232" t="str">
            <v>George Baldock</v>
          </cell>
          <cell r="E232">
            <v>3.1893665988214437</v>
          </cell>
          <cell r="F232">
            <v>2.8114285714285714</v>
          </cell>
          <cell r="G232">
            <v>1.9886111111111111</v>
          </cell>
          <cell r="H232">
            <v>3.1893665988214437</v>
          </cell>
          <cell r="I232">
            <v>2.8114285714285714</v>
          </cell>
          <cell r="J232">
            <v>0</v>
          </cell>
          <cell r="K232">
            <v>3.075985190603582</v>
          </cell>
          <cell r="L232" t="str">
            <v>DEF</v>
          </cell>
          <cell r="M232" t="str">
            <v>SHU</v>
          </cell>
        </row>
        <row r="233">
          <cell r="A233" t="str">
            <v>Christian Pulisic</v>
          </cell>
          <cell r="B233" t="str">
            <v>Pulisic</v>
          </cell>
          <cell r="E233">
            <v>3.0632948217301799</v>
          </cell>
          <cell r="F233">
            <v>3.1006211180124224</v>
          </cell>
          <cell r="G233">
            <v>1.9204968944099379</v>
          </cell>
          <cell r="H233">
            <v>3.0632948217301799</v>
          </cell>
          <cell r="I233">
            <v>3.1006211180124224</v>
          </cell>
          <cell r="J233">
            <v>0</v>
          </cell>
          <cell r="K233">
            <v>3.0744927106148521</v>
          </cell>
          <cell r="L233" t="str">
            <v>MID</v>
          </cell>
          <cell r="M233" t="str">
            <v>CHE</v>
          </cell>
        </row>
        <row r="234">
          <cell r="A234" t="str">
            <v>Calum Chambers</v>
          </cell>
          <cell r="B234" t="str">
            <v>Chambers</v>
          </cell>
          <cell r="C234" t="str">
            <v>C Chambers</v>
          </cell>
          <cell r="E234">
            <v>2.9367557681665346</v>
          </cell>
          <cell r="F234">
            <v>3.3913043478260874</v>
          </cell>
          <cell r="G234">
            <v>1.4260869565217391</v>
          </cell>
          <cell r="H234">
            <v>2.9367557681665346</v>
          </cell>
          <cell r="I234">
            <v>3.3913043478260874</v>
          </cell>
          <cell r="J234">
            <v>0</v>
          </cell>
          <cell r="K234">
            <v>3.0731203420644002</v>
          </cell>
          <cell r="L234" t="str">
            <v>DEF</v>
          </cell>
          <cell r="M234" t="str">
            <v>AVL</v>
          </cell>
        </row>
        <row r="235">
          <cell r="A235" t="str">
            <v>Tim Ream</v>
          </cell>
          <cell r="B235" t="str">
            <v>Ream</v>
          </cell>
          <cell r="E235">
            <v>3.1102114004536681</v>
          </cell>
          <cell r="F235">
            <v>2.9758454106280188</v>
          </cell>
          <cell r="G235">
            <v>2.3650153065613746</v>
          </cell>
          <cell r="H235">
            <v>3.1102114004536681</v>
          </cell>
          <cell r="I235">
            <v>2.9758454106280188</v>
          </cell>
          <cell r="J235">
            <v>2.9463286602837777</v>
          </cell>
          <cell r="K235">
            <v>3.069901603505973</v>
          </cell>
          <cell r="L235" t="str">
            <v>DEF</v>
          </cell>
          <cell r="M235" t="str">
            <v>FUL</v>
          </cell>
        </row>
        <row r="236">
          <cell r="A236" t="str">
            <v>Jan Paul van Hecke</v>
          </cell>
          <cell r="B236" t="str">
            <v>Van Hecke</v>
          </cell>
          <cell r="E236">
            <v>3.6179547967064436</v>
          </cell>
          <cell r="F236">
            <v>1.7731958762886599</v>
          </cell>
          <cell r="G236">
            <v>1.3695303550973654</v>
          </cell>
          <cell r="H236">
            <v>3.6179547967064436</v>
          </cell>
          <cell r="I236">
            <v>1.7731958762886599</v>
          </cell>
          <cell r="J236">
            <v>0</v>
          </cell>
          <cell r="K236">
            <v>3.0645271205811082</v>
          </cell>
          <cell r="L236" t="str">
            <v>DEF</v>
          </cell>
          <cell r="M236" t="str">
            <v>BHA</v>
          </cell>
        </row>
        <row r="237">
          <cell r="A237" t="str">
            <v>Wesley Fofana</v>
          </cell>
          <cell r="B237" t="str">
            <v>W.Fofana</v>
          </cell>
          <cell r="E237">
            <v>3.3154763197849988</v>
          </cell>
          <cell r="F237">
            <v>2.4449339207048459</v>
          </cell>
          <cell r="G237">
            <v>2.1916299559471364</v>
          </cell>
          <cell r="H237">
            <v>3.3154763197849988</v>
          </cell>
          <cell r="I237">
            <v>2.4449339207048459</v>
          </cell>
          <cell r="J237">
            <v>0</v>
          </cell>
          <cell r="K237">
            <v>3.0543136000609525</v>
          </cell>
          <cell r="L237" t="str">
            <v>DEF</v>
          </cell>
          <cell r="M237" t="str">
            <v>CHE</v>
          </cell>
        </row>
        <row r="238">
          <cell r="A238" t="str">
            <v>Matty Cash</v>
          </cell>
          <cell r="B238" t="str">
            <v>Cash</v>
          </cell>
          <cell r="E238">
            <v>3.2153794951701218</v>
          </cell>
          <cell r="F238">
            <v>2.6664832140891574</v>
          </cell>
          <cell r="G238">
            <v>2.0811546484043286</v>
          </cell>
          <cell r="H238">
            <v>3.2153794951701218</v>
          </cell>
          <cell r="I238">
            <v>2.6664832140891574</v>
          </cell>
          <cell r="J238">
            <v>2.7040665164835147</v>
          </cell>
          <cell r="K238">
            <v>3.0507106108458326</v>
          </cell>
          <cell r="L238" t="str">
            <v>DEF</v>
          </cell>
          <cell r="M238" t="str">
            <v>AVL</v>
          </cell>
        </row>
        <row r="239">
          <cell r="A239" t="str">
            <v>Marc Guéhi</v>
          </cell>
          <cell r="B239" t="str">
            <v>Guéhi</v>
          </cell>
          <cell r="C239" t="str">
            <v>Guehi</v>
          </cell>
          <cell r="D239" t="str">
            <v>Marc Guehi</v>
          </cell>
          <cell r="E239">
            <v>3.2524916023933108</v>
          </cell>
          <cell r="F239">
            <v>2.567567567567568</v>
          </cell>
          <cell r="G239">
            <v>2.0666522436304557</v>
          </cell>
          <cell r="H239">
            <v>3.2524916023933108</v>
          </cell>
          <cell r="I239">
            <v>2.567567567567568</v>
          </cell>
          <cell r="J239">
            <v>2.6298940823069996</v>
          </cell>
          <cell r="K239">
            <v>3.0470143919455879</v>
          </cell>
          <cell r="L239" t="str">
            <v>DEF</v>
          </cell>
          <cell r="M239" t="str">
            <v>CRY</v>
          </cell>
        </row>
        <row r="240">
          <cell r="A240" t="str">
            <v>Thilo Kehrer</v>
          </cell>
          <cell r="B240" t="str">
            <v>Kehrer</v>
          </cell>
          <cell r="E240">
            <v>3.2152299102668498</v>
          </cell>
          <cell r="F240">
            <v>2.6150740242261108</v>
          </cell>
          <cell r="G240">
            <v>2.1560880760811552</v>
          </cell>
          <cell r="H240">
            <v>3.2152299102668498</v>
          </cell>
          <cell r="I240">
            <v>2.6150740242261108</v>
          </cell>
          <cell r="J240">
            <v>2.6608379335850829</v>
          </cell>
          <cell r="K240">
            <v>3.0351831444546278</v>
          </cell>
          <cell r="L240" t="str">
            <v>DEF</v>
          </cell>
          <cell r="M240" t="str">
            <v>WHU</v>
          </cell>
        </row>
        <row r="241">
          <cell r="A241" t="str">
            <v>Conor Gallagher</v>
          </cell>
          <cell r="B241" t="str">
            <v>Gallagher</v>
          </cell>
          <cell r="E241">
            <v>3.016930554418003</v>
          </cell>
          <cell r="F241">
            <v>3.0628524046434493</v>
          </cell>
          <cell r="G241">
            <v>2.6477441395932422</v>
          </cell>
          <cell r="H241">
            <v>3.016930554418003</v>
          </cell>
          <cell r="I241">
            <v>2.9962686567164178</v>
          </cell>
          <cell r="J241">
            <v>2.9475735261534477</v>
          </cell>
          <cell r="K241">
            <v>3.0307071094856366</v>
          </cell>
          <cell r="L241" t="str">
            <v>MID</v>
          </cell>
          <cell r="M241" t="str">
            <v>CHE</v>
          </cell>
        </row>
        <row r="242">
          <cell r="A242" t="str">
            <v>Will Hughes</v>
          </cell>
          <cell r="B242" t="str">
            <v>Hughes</v>
          </cell>
          <cell r="C242" t="str">
            <v>W Hughes</v>
          </cell>
          <cell r="E242">
            <v>2.6188572674512609</v>
          </cell>
          <cell r="F242">
            <v>3.9685349322210639</v>
          </cell>
          <cell r="G242">
            <v>1.9025199860966282</v>
          </cell>
          <cell r="H242">
            <v>2.6188572674512609</v>
          </cell>
          <cell r="I242">
            <v>3.9403892944038934</v>
          </cell>
          <cell r="J242">
            <v>0</v>
          </cell>
          <cell r="K242">
            <v>3.0237605668822019</v>
          </cell>
          <cell r="L242" t="str">
            <v>MID</v>
          </cell>
          <cell r="M242" t="str">
            <v>CRY</v>
          </cell>
        </row>
        <row r="243">
          <cell r="A243" t="str">
            <v>Vitaly Janelt</v>
          </cell>
          <cell r="B243" t="str">
            <v>Janelt</v>
          </cell>
          <cell r="E243">
            <v>2.9451210656994569</v>
          </cell>
          <cell r="F243">
            <v>3.1731788580948055</v>
          </cell>
          <cell r="G243">
            <v>2.6298670208950865</v>
          </cell>
          <cell r="H243">
            <v>2.9451210656994569</v>
          </cell>
          <cell r="I243">
            <v>3.089504770558837</v>
          </cell>
          <cell r="J243">
            <v>3.0628125858123569</v>
          </cell>
          <cell r="K243">
            <v>3.0135384034180612</v>
          </cell>
          <cell r="L243" t="str">
            <v>MID</v>
          </cell>
          <cell r="M243" t="str">
            <v>BRE</v>
          </cell>
        </row>
        <row r="244">
          <cell r="A244" t="str">
            <v>Nathan Collins</v>
          </cell>
          <cell r="B244" t="str">
            <v>Collins</v>
          </cell>
          <cell r="E244">
            <v>3.2838622184809054</v>
          </cell>
          <cell r="F244">
            <v>2.3539480949751517</v>
          </cell>
          <cell r="G244">
            <v>2.2547917367907253</v>
          </cell>
          <cell r="H244">
            <v>3.2838622184809054</v>
          </cell>
          <cell r="I244">
            <v>2.3539480949751517</v>
          </cell>
          <cell r="J244">
            <v>2.3513976267045797</v>
          </cell>
          <cell r="K244">
            <v>3.0048879814291789</v>
          </cell>
          <cell r="L244" t="str">
            <v>DEF</v>
          </cell>
          <cell r="M244" t="str">
            <v>BRE</v>
          </cell>
        </row>
        <row r="245">
          <cell r="A245" t="str">
            <v>Harry Toffolo</v>
          </cell>
          <cell r="B245" t="str">
            <v>Toffolo</v>
          </cell>
          <cell r="E245">
            <v>3.1059849981154741</v>
          </cell>
          <cell r="F245">
            <v>2.765273311897106</v>
          </cell>
          <cell r="G245">
            <v>1.8934857687269264</v>
          </cell>
          <cell r="H245">
            <v>3.1059849981154741</v>
          </cell>
          <cell r="I245">
            <v>2.765273311897106</v>
          </cell>
          <cell r="J245">
            <v>0</v>
          </cell>
          <cell r="K245">
            <v>3.0037714922499639</v>
          </cell>
          <cell r="L245" t="str">
            <v>DEF</v>
          </cell>
          <cell r="M245" t="str">
            <v>NFO</v>
          </cell>
        </row>
        <row r="246">
          <cell r="A246" t="str">
            <v>Matt Turner</v>
          </cell>
          <cell r="B246" t="str">
            <v>Turner</v>
          </cell>
          <cell r="E246">
            <v>3</v>
          </cell>
          <cell r="F246">
            <v>3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2.9999999999999996</v>
          </cell>
          <cell r="L246" t="str">
            <v>GK</v>
          </cell>
          <cell r="M246" t="str">
            <v>NFO</v>
          </cell>
        </row>
        <row r="247">
          <cell r="A247" t="str">
            <v>Harrison Reed</v>
          </cell>
          <cell r="B247" t="str">
            <v>Reed</v>
          </cell>
          <cell r="E247">
            <v>2.9589728391567158</v>
          </cell>
          <cell r="F247">
            <v>3.095357142857142</v>
          </cell>
          <cell r="G247">
            <v>2.7199849230469892</v>
          </cell>
          <cell r="H247">
            <v>2.9589728391567158</v>
          </cell>
          <cell r="I247">
            <v>3.021966527196652</v>
          </cell>
          <cell r="J247">
            <v>3.0097501621919429</v>
          </cell>
          <cell r="K247">
            <v>2.9998881302668434</v>
          </cell>
          <cell r="L247" t="str">
            <v>MID</v>
          </cell>
          <cell r="M247" t="str">
            <v>FUL</v>
          </cell>
        </row>
        <row r="248">
          <cell r="A248" t="str">
            <v>Cristian Romero</v>
          </cell>
          <cell r="B248" t="str">
            <v>Romero</v>
          </cell>
          <cell r="E248">
            <v>3.2054875010806798</v>
          </cell>
          <cell r="F248">
            <v>2.5137537029200168</v>
          </cell>
          <cell r="G248">
            <v>2.1436450313295077</v>
          </cell>
          <cell r="H248">
            <v>3.2054875010806798</v>
          </cell>
          <cell r="I248">
            <v>2.5137537029200168</v>
          </cell>
          <cell r="J248">
            <v>2.5050216243654826</v>
          </cell>
          <cell r="K248">
            <v>2.9979673616324809</v>
          </cell>
          <cell r="L248" t="str">
            <v>DEF</v>
          </cell>
          <cell r="M248" t="str">
            <v>TOT</v>
          </cell>
        </row>
        <row r="249">
          <cell r="A249" t="str">
            <v>Fraser Forster</v>
          </cell>
          <cell r="B249" t="str">
            <v>Forster</v>
          </cell>
          <cell r="E249">
            <v>3.0085703245452113</v>
          </cell>
          <cell r="F249">
            <v>2.9629629629629632</v>
          </cell>
          <cell r="G249">
            <v>1.9925925925925925</v>
          </cell>
          <cell r="H249">
            <v>3.0085703245452113</v>
          </cell>
          <cell r="I249">
            <v>2.9629629629629632</v>
          </cell>
          <cell r="J249">
            <v>2.953920000000001</v>
          </cell>
          <cell r="K249">
            <v>2.9948881160705367</v>
          </cell>
          <cell r="L249" t="str">
            <v>GK</v>
          </cell>
          <cell r="M249" t="str">
            <v>TOT</v>
          </cell>
        </row>
        <row r="250">
          <cell r="A250" t="str">
            <v>Hugo Bueno López</v>
          </cell>
          <cell r="B250" t="str">
            <v>Bueno</v>
          </cell>
          <cell r="C250" t="str">
            <v>Hugo Bueno</v>
          </cell>
          <cell r="E250">
            <v>3.2696166639535034</v>
          </cell>
          <cell r="F250">
            <v>2.352716143840857</v>
          </cell>
          <cell r="G250">
            <v>2.4183412574885734</v>
          </cell>
          <cell r="H250">
            <v>3.2696166639535034</v>
          </cell>
          <cell r="I250">
            <v>2.352716143840857</v>
          </cell>
          <cell r="J250">
            <v>2.3246570068300518</v>
          </cell>
          <cell r="K250">
            <v>2.9945465079197091</v>
          </cell>
          <cell r="L250" t="str">
            <v>DEF</v>
          </cell>
          <cell r="M250" t="str">
            <v>WOL</v>
          </cell>
        </row>
        <row r="251">
          <cell r="A251" t="str">
            <v>Ben Godfrey</v>
          </cell>
          <cell r="B251" t="str">
            <v>Godfrey</v>
          </cell>
          <cell r="E251">
            <v>3.5473048851829057</v>
          </cell>
          <cell r="F251">
            <v>1.6853932584269664</v>
          </cell>
          <cell r="G251">
            <v>1.8014981273408239</v>
          </cell>
          <cell r="H251">
            <v>3.5473048851829057</v>
          </cell>
          <cell r="I251">
            <v>1.6853932584269664</v>
          </cell>
          <cell r="J251">
            <v>0</v>
          </cell>
          <cell r="K251">
            <v>2.988731397156124</v>
          </cell>
          <cell r="L251" t="str">
            <v>DEF</v>
          </cell>
          <cell r="M251" t="str">
            <v>EVE</v>
          </cell>
        </row>
        <row r="252">
          <cell r="A252" t="str">
            <v>Pierre-Emerick Aubameyang</v>
          </cell>
          <cell r="B252" t="str">
            <v>Aubameyang</v>
          </cell>
          <cell r="E252">
            <v>3.0446886446886445</v>
          </cell>
          <cell r="F252">
            <v>2.8388278388278385</v>
          </cell>
          <cell r="G252">
            <v>2.2271062271062272</v>
          </cell>
          <cell r="H252">
            <v>3.0446886446886445</v>
          </cell>
          <cell r="I252">
            <v>2.8388278388278385</v>
          </cell>
          <cell r="J252">
            <v>0</v>
          </cell>
          <cell r="K252">
            <v>2.9829304029304025</v>
          </cell>
          <cell r="L252" t="str">
            <v>FWD</v>
          </cell>
          <cell r="M252" t="str">
            <v>CHE</v>
          </cell>
        </row>
        <row r="253">
          <cell r="A253" t="str">
            <v>Jonathan Castro Otto</v>
          </cell>
          <cell r="B253" t="str">
            <v>J.Otto</v>
          </cell>
          <cell r="C253" t="str">
            <v>Jonny Castro</v>
          </cell>
          <cell r="E253">
            <v>2.9616262345549984</v>
          </cell>
          <cell r="F253">
            <v>3.0071599045346065</v>
          </cell>
          <cell r="G253">
            <v>2.121822128478235</v>
          </cell>
          <cell r="H253">
            <v>2.9616262345549984</v>
          </cell>
          <cell r="I253">
            <v>3.0071599045346065</v>
          </cell>
          <cell r="J253">
            <v>2.9686689661505063</v>
          </cell>
          <cell r="K253">
            <v>2.9752863355488808</v>
          </cell>
          <cell r="L253" t="str">
            <v>DEF</v>
          </cell>
          <cell r="M253" t="str">
            <v>WOL</v>
          </cell>
        </row>
        <row r="254">
          <cell r="A254" t="str">
            <v>Gonçalo Manuel Ganchinho Guedes</v>
          </cell>
          <cell r="B254" t="str">
            <v>Guedes</v>
          </cell>
          <cell r="C254" t="str">
            <v>Gonçalo Guedes</v>
          </cell>
          <cell r="E254">
            <v>2.9868718162028882</v>
          </cell>
          <cell r="F254">
            <v>2.947181721194879</v>
          </cell>
          <cell r="G254">
            <v>2</v>
          </cell>
          <cell r="H254">
            <v>2.9868718162028882</v>
          </cell>
          <cell r="I254">
            <v>2.9288762446657182</v>
          </cell>
          <cell r="J254">
            <v>0</v>
          </cell>
          <cell r="K254">
            <v>2.9749647877004852</v>
          </cell>
          <cell r="L254" t="str">
            <v>MID</v>
          </cell>
          <cell r="M254" t="str">
            <v>WOL</v>
          </cell>
        </row>
        <row r="255">
          <cell r="A255" t="str">
            <v>Thomas Partey</v>
          </cell>
          <cell r="B255" t="str">
            <v>Thomas</v>
          </cell>
          <cell r="E255">
            <v>2.9295261033416407</v>
          </cell>
          <cell r="F255">
            <v>3.0581149193548387</v>
          </cell>
          <cell r="G255">
            <v>2.557684676880891</v>
          </cell>
          <cell r="H255">
            <v>2.9295261033416407</v>
          </cell>
          <cell r="I255">
            <v>2.94758064516129</v>
          </cell>
          <cell r="J255">
            <v>2.933179762172248</v>
          </cell>
          <cell r="K255">
            <v>2.9681027481456002</v>
          </cell>
          <cell r="L255" t="str">
            <v>MID</v>
          </cell>
          <cell r="M255" t="str">
            <v>ARS</v>
          </cell>
        </row>
        <row r="256">
          <cell r="A256" t="str">
            <v>Marek Rodák</v>
          </cell>
          <cell r="B256" t="str">
            <v>Rodák</v>
          </cell>
          <cell r="C256" t="str">
            <v>Rodak</v>
          </cell>
          <cell r="E256">
            <v>2.7375337779241993</v>
          </cell>
          <cell r="F256">
            <v>3.5</v>
          </cell>
          <cell r="G256">
            <v>2</v>
          </cell>
          <cell r="H256">
            <v>2.7375337779241993</v>
          </cell>
          <cell r="I256">
            <v>3.5</v>
          </cell>
          <cell r="J256">
            <v>0</v>
          </cell>
          <cell r="K256">
            <v>2.9662736445469395</v>
          </cell>
          <cell r="L256" t="str">
            <v>GK</v>
          </cell>
          <cell r="M256" t="str">
            <v>FUL</v>
          </cell>
        </row>
        <row r="257">
          <cell r="A257" t="str">
            <v>Ryan Christie</v>
          </cell>
          <cell r="B257" t="str">
            <v>Christie</v>
          </cell>
          <cell r="E257">
            <v>3.0915778409510861</v>
          </cell>
          <cell r="F257">
            <v>2.6245579078455785</v>
          </cell>
          <cell r="G257">
            <v>2.8280757233541869</v>
          </cell>
          <cell r="H257">
            <v>3.0915778409510861</v>
          </cell>
          <cell r="I257">
            <v>2.5950684931506847</v>
          </cell>
          <cell r="J257">
            <v>2.5658372055329162</v>
          </cell>
          <cell r="K257">
            <v>2.9514718610194337</v>
          </cell>
          <cell r="L257" t="str">
            <v>MID</v>
          </cell>
          <cell r="M257" t="str">
            <v>BOU</v>
          </cell>
        </row>
        <row r="258">
          <cell r="A258" t="str">
            <v>Vitalii Mykolenko</v>
          </cell>
          <cell r="B258" t="str">
            <v>Mykolenko</v>
          </cell>
          <cell r="C258" t="str">
            <v>Vitaliy Mykolenko</v>
          </cell>
          <cell r="E258">
            <v>3.1621712162338227</v>
          </cell>
          <cell r="F258">
            <v>2.4312099509988689</v>
          </cell>
          <cell r="G258">
            <v>2.170348468536127</v>
          </cell>
          <cell r="H258">
            <v>3.1621712162338227</v>
          </cell>
          <cell r="I258">
            <v>2.4312099509988689</v>
          </cell>
          <cell r="J258">
            <v>2.5015763366042223</v>
          </cell>
          <cell r="K258">
            <v>2.9428828366633364</v>
          </cell>
          <cell r="L258" t="str">
            <v>DEF</v>
          </cell>
          <cell r="M258" t="str">
            <v>EVE</v>
          </cell>
        </row>
        <row r="259">
          <cell r="A259" t="str">
            <v>Philippe Coutinho Correia</v>
          </cell>
          <cell r="B259" t="str">
            <v>Coutinho</v>
          </cell>
          <cell r="C259" t="str">
            <v>Philippe Coutinho</v>
          </cell>
          <cell r="E259">
            <v>2.9066994903000571</v>
          </cell>
          <cell r="F259">
            <v>2.9864313292884721</v>
          </cell>
          <cell r="G259">
            <v>1.8120242691671264</v>
          </cell>
          <cell r="H259">
            <v>2.9066994903000571</v>
          </cell>
          <cell r="I259">
            <v>2.9652509652509651</v>
          </cell>
          <cell r="J259">
            <v>0</v>
          </cell>
          <cell r="K259">
            <v>2.9306190419965819</v>
          </cell>
          <cell r="L259" t="str">
            <v>MID</v>
          </cell>
          <cell r="M259" t="str">
            <v>AVL</v>
          </cell>
        </row>
        <row r="260">
          <cell r="A260" t="str">
            <v>Stefan Bajcetic</v>
          </cell>
          <cell r="B260" t="str">
            <v>Bajcetic</v>
          </cell>
          <cell r="E260">
            <v>2.7734662018959262</v>
          </cell>
          <cell r="F260">
            <v>3.2873563218390807</v>
          </cell>
          <cell r="G260">
            <v>1.7011494252873565</v>
          </cell>
          <cell r="H260">
            <v>2.7734662018959262</v>
          </cell>
          <cell r="I260">
            <v>3.2873563218390807</v>
          </cell>
          <cell r="J260">
            <v>0</v>
          </cell>
          <cell r="K260">
            <v>2.9276332378788723</v>
          </cell>
          <cell r="L260" t="str">
            <v>MID</v>
          </cell>
          <cell r="M260" t="str">
            <v>LIV</v>
          </cell>
        </row>
        <row r="261">
          <cell r="A261" t="str">
            <v>Kenny Tete</v>
          </cell>
          <cell r="B261" t="str">
            <v>Tete</v>
          </cell>
          <cell r="E261">
            <v>2.8630089978002915</v>
          </cell>
          <cell r="F261">
            <v>3.0478785519657454</v>
          </cell>
          <cell r="G261">
            <v>2.0957907758906811</v>
          </cell>
          <cell r="H261">
            <v>2.8630089978002915</v>
          </cell>
          <cell r="I261">
            <v>3.0478785519657454</v>
          </cell>
          <cell r="J261">
            <v>3.0166060347052914</v>
          </cell>
          <cell r="K261">
            <v>2.9184698640499276</v>
          </cell>
          <cell r="L261" t="str">
            <v>DEF</v>
          </cell>
          <cell r="M261" t="str">
            <v>FUL</v>
          </cell>
        </row>
        <row r="262">
          <cell r="A262" t="str">
            <v>Aaron Hickey</v>
          </cell>
          <cell r="B262" t="str">
            <v>Hickey</v>
          </cell>
          <cell r="E262">
            <v>3.0254808862757034</v>
          </cell>
          <cell r="F262">
            <v>2.6605839416058399</v>
          </cell>
          <cell r="G262">
            <v>1.930317452503524</v>
          </cell>
          <cell r="H262">
            <v>3.0254808862757034</v>
          </cell>
          <cell r="I262">
            <v>2.6605839416058399</v>
          </cell>
          <cell r="J262">
            <v>2.6648826492143729</v>
          </cell>
          <cell r="K262">
            <v>2.9160118028747442</v>
          </cell>
          <cell r="L262" t="str">
            <v>DEF</v>
          </cell>
          <cell r="M262" t="str">
            <v>BRE</v>
          </cell>
        </row>
        <row r="263">
          <cell r="A263" t="str">
            <v>Bryan Gil Salvatierra</v>
          </cell>
          <cell r="B263" t="str">
            <v>Bryan</v>
          </cell>
          <cell r="E263">
            <v>2.329476310626108</v>
          </cell>
          <cell r="F263">
            <v>4.2534246575342465</v>
          </cell>
          <cell r="G263">
            <v>1.5273972602739725</v>
          </cell>
          <cell r="H263">
            <v>2.329476310626108</v>
          </cell>
          <cell r="I263">
            <v>4.2534246575342465</v>
          </cell>
          <cell r="J263">
            <v>0</v>
          </cell>
          <cell r="K263">
            <v>2.9066608146985491</v>
          </cell>
          <cell r="L263" t="str">
            <v>MID</v>
          </cell>
          <cell r="M263" t="str">
            <v>TOT</v>
          </cell>
        </row>
        <row r="264">
          <cell r="A264" t="str">
            <v>Neco Williams</v>
          </cell>
          <cell r="B264" t="str">
            <v>Williams</v>
          </cell>
          <cell r="E264">
            <v>3.0871086848714375</v>
          </cell>
          <cell r="F264">
            <v>2.4519230769230771</v>
          </cell>
          <cell r="G264">
            <v>2.2439454369006184</v>
          </cell>
          <cell r="H264">
            <v>3.0871086848714375</v>
          </cell>
          <cell r="I264">
            <v>2.4519230769230771</v>
          </cell>
          <cell r="J264">
            <v>2.4404762235024329</v>
          </cell>
          <cell r="K264">
            <v>2.8965530024869288</v>
          </cell>
          <cell r="L264" t="str">
            <v>DEF</v>
          </cell>
          <cell r="M264" t="str">
            <v>NFO</v>
          </cell>
        </row>
        <row r="265">
          <cell r="A265" t="str">
            <v>Marcos Senesi</v>
          </cell>
          <cell r="B265" t="str">
            <v>Senesi</v>
          </cell>
          <cell r="E265">
            <v>3.1248894148342892</v>
          </cell>
          <cell r="F265">
            <v>2.3563680192848531</v>
          </cell>
          <cell r="G265">
            <v>2.3037001367402534</v>
          </cell>
          <cell r="H265">
            <v>3.1248894148342892</v>
          </cell>
          <cell r="I265">
            <v>2.3563680192848531</v>
          </cell>
          <cell r="J265">
            <v>2.3403378567051907</v>
          </cell>
          <cell r="K265">
            <v>2.8943329961694584</v>
          </cell>
          <cell r="L265" t="str">
            <v>DEF</v>
          </cell>
          <cell r="M265" t="str">
            <v>BOU</v>
          </cell>
        </row>
        <row r="266">
          <cell r="A266" t="str">
            <v>Bobby De Cordova-Reid</v>
          </cell>
          <cell r="B266" t="str">
            <v>De Cordova-Reid</v>
          </cell>
          <cell r="C266" t="str">
            <v>Reid</v>
          </cell>
          <cell r="D266" t="str">
            <v>Bobby Reid</v>
          </cell>
          <cell r="E266">
            <v>2.8551973451796737</v>
          </cell>
          <cell r="F266">
            <v>2.9666606243986777</v>
          </cell>
          <cell r="G266">
            <v>2.6084360501527017</v>
          </cell>
          <cell r="H266">
            <v>2.8551973451796737</v>
          </cell>
          <cell r="I266">
            <v>2.9114435907804288</v>
          </cell>
          <cell r="J266">
            <v>2.8953103923444981</v>
          </cell>
          <cell r="K266">
            <v>2.8886363289453749</v>
          </cell>
          <cell r="L266" t="str">
            <v>MID</v>
          </cell>
          <cell r="M266" t="str">
            <v>FUL</v>
          </cell>
        </row>
        <row r="267">
          <cell r="A267" t="str">
            <v>James Milner</v>
          </cell>
          <cell r="B267" t="str">
            <v>Milner</v>
          </cell>
          <cell r="E267">
            <v>2.5293774425034319</v>
          </cell>
          <cell r="F267">
            <v>3.7157480314960618</v>
          </cell>
          <cell r="G267">
            <v>1.8193475815523059</v>
          </cell>
          <cell r="H267">
            <v>2.5293774425034319</v>
          </cell>
          <cell r="I267">
            <v>3.6377952755905505</v>
          </cell>
          <cell r="J267">
            <v>0</v>
          </cell>
          <cell r="K267">
            <v>2.8852886192012206</v>
          </cell>
          <cell r="L267" t="str">
            <v>MID</v>
          </cell>
          <cell r="M267" t="str">
            <v>BHA</v>
          </cell>
        </row>
        <row r="268">
          <cell r="A268" t="str">
            <v>Lloyd Kelly</v>
          </cell>
          <cell r="B268" t="str">
            <v>Kelly</v>
          </cell>
          <cell r="E268">
            <v>2.990090544268543</v>
          </cell>
          <cell r="F268">
            <v>2.6176470588235294</v>
          </cell>
          <cell r="G268">
            <v>2.1960665134091624</v>
          </cell>
          <cell r="H268">
            <v>2.990090544268543</v>
          </cell>
          <cell r="I268">
            <v>2.6176470588235294</v>
          </cell>
          <cell r="J268">
            <v>2.6019285015479872</v>
          </cell>
          <cell r="K268">
            <v>2.8783574986350389</v>
          </cell>
          <cell r="L268" t="str">
            <v>DEF</v>
          </cell>
          <cell r="M268" t="str">
            <v>BOU</v>
          </cell>
        </row>
        <row r="269">
          <cell r="A269" t="str">
            <v>John McGinn</v>
          </cell>
          <cell r="B269" t="str">
            <v>McGinn</v>
          </cell>
          <cell r="E269">
            <v>2.8198304240664793</v>
          </cell>
          <cell r="F269">
            <v>2.9806092124814265</v>
          </cell>
          <cell r="G269">
            <v>2.5312895830158766</v>
          </cell>
          <cell r="H269">
            <v>2.8198304240664793</v>
          </cell>
          <cell r="I269">
            <v>2.87518573551263</v>
          </cell>
          <cell r="J269">
            <v>2.9069731866241919</v>
          </cell>
          <cell r="K269">
            <v>2.8680640605909633</v>
          </cell>
          <cell r="L269" t="str">
            <v>MID</v>
          </cell>
          <cell r="M269" t="str">
            <v>AVL</v>
          </cell>
        </row>
        <row r="270">
          <cell r="A270" t="str">
            <v>Frank Onyeka</v>
          </cell>
          <cell r="B270" t="str">
            <v>Onyeka</v>
          </cell>
          <cell r="E270">
            <v>2.8102925002138397</v>
          </cell>
          <cell r="F270">
            <v>2.9510155316606927</v>
          </cell>
          <cell r="G270">
            <v>2</v>
          </cell>
          <cell r="H270">
            <v>2.8102925002138397</v>
          </cell>
          <cell r="I270">
            <v>2.9510155316606927</v>
          </cell>
          <cell r="J270">
            <v>0</v>
          </cell>
          <cell r="K270">
            <v>2.8525094096478956</v>
          </cell>
          <cell r="L270" t="str">
            <v>MID</v>
          </cell>
          <cell r="M270" t="str">
            <v>BRE</v>
          </cell>
        </row>
        <row r="271">
          <cell r="A271" t="str">
            <v>Nathaniel Clyne</v>
          </cell>
          <cell r="B271" t="str">
            <v>Clyne</v>
          </cell>
          <cell r="E271">
            <v>3.104150749735358</v>
          </cell>
          <cell r="F271">
            <v>2.2564102564102568</v>
          </cell>
          <cell r="G271">
            <v>1.9294892481682628</v>
          </cell>
          <cell r="H271">
            <v>3.104150749735358</v>
          </cell>
          <cell r="I271">
            <v>2.2564102564102568</v>
          </cell>
          <cell r="J271">
            <v>2.3076718521181001</v>
          </cell>
          <cell r="K271">
            <v>2.8498286017378276</v>
          </cell>
          <cell r="L271" t="str">
            <v>DEF</v>
          </cell>
          <cell r="M271" t="str">
            <v>CRY</v>
          </cell>
        </row>
        <row r="272">
          <cell r="A272" t="str">
            <v>Mikkel Damsgaard</v>
          </cell>
          <cell r="B272" t="str">
            <v>Damsgaard</v>
          </cell>
          <cell r="E272">
            <v>3.0987108820143301</v>
          </cell>
          <cell r="F272">
            <v>2.2453608247422676</v>
          </cell>
          <cell r="G272">
            <v>1.7278350515463918</v>
          </cell>
          <cell r="H272">
            <v>3.0987108820143301</v>
          </cell>
          <cell r="I272">
            <v>2.2453608247422676</v>
          </cell>
          <cell r="J272">
            <v>0</v>
          </cell>
          <cell r="K272">
            <v>2.8427058648327113</v>
          </cell>
          <cell r="L272" t="str">
            <v>MID</v>
          </cell>
          <cell r="M272" t="str">
            <v>BRE</v>
          </cell>
        </row>
        <row r="273">
          <cell r="A273" t="str">
            <v>Matheus Luiz Nunes</v>
          </cell>
          <cell r="B273" t="str">
            <v>Matheus N.</v>
          </cell>
          <cell r="C273" t="str">
            <v>Nunes</v>
          </cell>
          <cell r="D273" t="str">
            <v>Matheus Nunes</v>
          </cell>
          <cell r="E273">
            <v>2.9362950835857653</v>
          </cell>
          <cell r="F273">
            <v>2.6215916768004326</v>
          </cell>
          <cell r="G273">
            <v>2.6729153830990127</v>
          </cell>
          <cell r="H273">
            <v>2.9362950835857653</v>
          </cell>
          <cell r="I273">
            <v>2.5618159708147545</v>
          </cell>
          <cell r="J273">
            <v>2.5418089970772089</v>
          </cell>
          <cell r="K273">
            <v>2.8418840615501653</v>
          </cell>
          <cell r="L273" t="str">
            <v>MID</v>
          </cell>
          <cell r="M273" t="str">
            <v>WOL</v>
          </cell>
        </row>
        <row r="274">
          <cell r="A274" t="str">
            <v>Jeffrey Schlupp</v>
          </cell>
          <cell r="B274" t="str">
            <v>Schlupp</v>
          </cell>
          <cell r="E274">
            <v>2.80483539160933</v>
          </cell>
          <cell r="F274">
            <v>2.9039418512658219</v>
          </cell>
          <cell r="G274">
            <v>2.5087698305519246</v>
          </cell>
          <cell r="H274">
            <v>2.80483539160933</v>
          </cell>
          <cell r="I274">
            <v>2.8516613924050627</v>
          </cell>
          <cell r="J274">
            <v>2.873294618395061</v>
          </cell>
          <cell r="K274">
            <v>2.8345673295062772</v>
          </cell>
          <cell r="L274" t="str">
            <v>MID</v>
          </cell>
          <cell r="M274" t="str">
            <v>CRY</v>
          </cell>
        </row>
        <row r="275">
          <cell r="A275" t="str">
            <v>Jefferson Lerma Solís</v>
          </cell>
          <cell r="B275" t="str">
            <v>Lerma</v>
          </cell>
          <cell r="C275" t="str">
            <v>Jefferson Lerma</v>
          </cell>
          <cell r="E275">
            <v>2.8111787762970089</v>
          </cell>
          <cell r="F275">
            <v>2.854968252385226</v>
          </cell>
          <cell r="G275">
            <v>2.5031971011742002</v>
          </cell>
          <cell r="H275">
            <v>2.8111787762970089</v>
          </cell>
          <cell r="I275">
            <v>2.7330873308733086</v>
          </cell>
          <cell r="J275">
            <v>2.7570890161196364</v>
          </cell>
          <cell r="K275">
            <v>2.8243156191234737</v>
          </cell>
          <cell r="L275" t="str">
            <v>MID</v>
          </cell>
          <cell r="M275" t="str">
            <v>CRY</v>
          </cell>
        </row>
        <row r="276">
          <cell r="A276" t="str">
            <v>Jordan Henderson</v>
          </cell>
          <cell r="B276" t="str">
            <v>Henderson</v>
          </cell>
          <cell r="C276" t="str">
            <v>J Henderson</v>
          </cell>
          <cell r="E276">
            <v>2.8474638116580864</v>
          </cell>
          <cell r="F276">
            <v>2.6694174757281552</v>
          </cell>
          <cell r="G276">
            <v>2.5344719208466495</v>
          </cell>
          <cell r="H276">
            <v>2.8474638116580864</v>
          </cell>
          <cell r="I276">
            <v>2.6126213592233007</v>
          </cell>
          <cell r="J276">
            <v>2.5953870750647114</v>
          </cell>
          <cell r="K276">
            <v>2.7940499108791066</v>
          </cell>
          <cell r="L276" t="str">
            <v>MID</v>
          </cell>
          <cell r="M276" t="str">
            <v>LIV</v>
          </cell>
        </row>
        <row r="277">
          <cell r="A277" t="str">
            <v>Japhet Tanganga</v>
          </cell>
          <cell r="B277" t="str">
            <v>Tanganga</v>
          </cell>
          <cell r="E277">
            <v>3.1288641466140215</v>
          </cell>
          <cell r="F277">
            <v>1.9586206896551723</v>
          </cell>
          <cell r="G277">
            <v>2</v>
          </cell>
          <cell r="H277">
            <v>3.1288641466140215</v>
          </cell>
          <cell r="I277">
            <v>1.9586206896551723</v>
          </cell>
          <cell r="J277">
            <v>0</v>
          </cell>
          <cell r="K277">
            <v>2.7777911095263668</v>
          </cell>
          <cell r="L277" t="str">
            <v>DEF</v>
          </cell>
          <cell r="M277" t="str">
            <v>TOT</v>
          </cell>
        </row>
        <row r="278">
          <cell r="A278" t="str">
            <v>Joe Worrall</v>
          </cell>
          <cell r="B278" t="str">
            <v>Worrall</v>
          </cell>
          <cell r="E278">
            <v>2.9133637847192646</v>
          </cell>
          <cell r="F278">
            <v>2.4510158013544019</v>
          </cell>
          <cell r="G278">
            <v>2.1035126672406368</v>
          </cell>
          <cell r="H278">
            <v>2.9133637847192646</v>
          </cell>
          <cell r="I278">
            <v>2.4510158013544019</v>
          </cell>
          <cell r="J278">
            <v>2.4426799810677773</v>
          </cell>
          <cell r="K278">
            <v>2.7746593897098055</v>
          </cell>
          <cell r="L278" t="str">
            <v>DEF</v>
          </cell>
          <cell r="M278" t="str">
            <v>NFO</v>
          </cell>
        </row>
        <row r="279">
          <cell r="A279" t="str">
            <v>Shandon Baptiste</v>
          </cell>
          <cell r="B279" t="str">
            <v>Baptiste</v>
          </cell>
          <cell r="E279">
            <v>2.542882703320172</v>
          </cell>
          <cell r="F279">
            <v>3.2866666666666662</v>
          </cell>
          <cell r="G279">
            <v>1.66</v>
          </cell>
          <cell r="H279">
            <v>2.542882703320172</v>
          </cell>
          <cell r="I279">
            <v>3.2866666666666662</v>
          </cell>
          <cell r="J279">
            <v>0</v>
          </cell>
          <cell r="K279">
            <v>2.7660178923241201</v>
          </cell>
          <cell r="L279" t="str">
            <v>MID</v>
          </cell>
          <cell r="M279" t="str">
            <v>BRE</v>
          </cell>
        </row>
        <row r="280">
          <cell r="A280" t="str">
            <v>Anthony Gordon</v>
          </cell>
          <cell r="B280" t="str">
            <v>Gordon</v>
          </cell>
          <cell r="E280">
            <v>2.8802580205630535</v>
          </cell>
          <cell r="F280">
            <v>2.4625158831003811</v>
          </cell>
          <cell r="G280">
            <v>2.144853875476493</v>
          </cell>
          <cell r="H280">
            <v>2.8802580205630535</v>
          </cell>
          <cell r="I280">
            <v>2.4625158831003811</v>
          </cell>
          <cell r="J280">
            <v>0</v>
          </cell>
          <cell r="K280">
            <v>2.7549353793242517</v>
          </cell>
          <cell r="L280" t="str">
            <v>MID</v>
          </cell>
          <cell r="M280" t="str">
            <v>NEW</v>
          </cell>
        </row>
        <row r="281">
          <cell r="A281" t="str">
            <v>Amadou Onana</v>
          </cell>
          <cell r="B281" t="str">
            <v>Onana</v>
          </cell>
          <cell r="E281">
            <v>2.8007781998138528</v>
          </cell>
          <cell r="F281">
            <v>2.6417149832163567</v>
          </cell>
          <cell r="G281">
            <v>2.6109081179638913</v>
          </cell>
          <cell r="H281">
            <v>2.8007781998138528</v>
          </cell>
          <cell r="I281">
            <v>2.5707964601769913</v>
          </cell>
          <cell r="J281">
            <v>2.6341800599086143</v>
          </cell>
          <cell r="K281">
            <v>2.7530592348346037</v>
          </cell>
          <cell r="L281" t="str">
            <v>MID</v>
          </cell>
          <cell r="M281" t="str">
            <v>EVE</v>
          </cell>
        </row>
        <row r="282">
          <cell r="A282" t="str">
            <v>Jorge Luiz Frello Filho</v>
          </cell>
          <cell r="B282" t="str">
            <v>Jorginho</v>
          </cell>
          <cell r="E282">
            <v>2.5925806905521789</v>
          </cell>
          <cell r="F282">
            <v>3.1087447108603663</v>
          </cell>
          <cell r="G282">
            <v>2.2031029619181948</v>
          </cell>
          <cell r="H282">
            <v>2.5925806905521789</v>
          </cell>
          <cell r="I282">
            <v>3.0084626234132581</v>
          </cell>
          <cell r="J282">
            <v>0</v>
          </cell>
          <cell r="K282">
            <v>2.7474298966446349</v>
          </cell>
          <cell r="L282" t="str">
            <v>MID</v>
          </cell>
          <cell r="M282" t="str">
            <v>ARS</v>
          </cell>
        </row>
        <row r="283">
          <cell r="A283" t="str">
            <v>Wayne Hennessey</v>
          </cell>
          <cell r="B283" t="str">
            <v>Hennessey</v>
          </cell>
          <cell r="E283">
            <v>2.7760875561742884</v>
          </cell>
          <cell r="F283">
            <v>2.6568265682656826</v>
          </cell>
          <cell r="G283">
            <v>2</v>
          </cell>
          <cell r="H283">
            <v>2.7760875561742884</v>
          </cell>
          <cell r="I283">
            <v>2.6568265682656826</v>
          </cell>
          <cell r="J283">
            <v>0</v>
          </cell>
          <cell r="K283">
            <v>2.7403092598017067</v>
          </cell>
          <cell r="L283" t="str">
            <v>GK</v>
          </cell>
          <cell r="M283" t="str">
            <v>NFO</v>
          </cell>
        </row>
        <row r="284">
          <cell r="A284" t="str">
            <v>Mark Travers</v>
          </cell>
          <cell r="B284" t="str">
            <v>Travers</v>
          </cell>
          <cell r="E284">
            <v>2.8694697076217666</v>
          </cell>
          <cell r="F284">
            <v>2.4347826086956523</v>
          </cell>
          <cell r="G284">
            <v>2.0869565217391304</v>
          </cell>
          <cell r="H284">
            <v>2.8694697076217666</v>
          </cell>
          <cell r="I284">
            <v>2.4347826086956523</v>
          </cell>
          <cell r="J284">
            <v>0</v>
          </cell>
          <cell r="K284">
            <v>2.7390635779439325</v>
          </cell>
          <cell r="L284" t="str">
            <v>GK</v>
          </cell>
          <cell r="M284" t="str">
            <v>BOU</v>
          </cell>
        </row>
        <row r="285">
          <cell r="A285" t="str">
            <v>Antonee Robinson</v>
          </cell>
          <cell r="B285" t="str">
            <v>Robinson</v>
          </cell>
          <cell r="E285">
            <v>2.7729321498156279</v>
          </cell>
          <cell r="F285">
            <v>2.6502590673575126</v>
          </cell>
          <cell r="G285">
            <v>2.0271784528029921</v>
          </cell>
          <cell r="H285">
            <v>2.7729321498156279</v>
          </cell>
          <cell r="I285">
            <v>2.6502590673575126</v>
          </cell>
          <cell r="J285">
            <v>2.6230662934278697</v>
          </cell>
          <cell r="K285">
            <v>2.7361302250781931</v>
          </cell>
          <cell r="L285" t="str">
            <v>DEF</v>
          </cell>
          <cell r="M285" t="str">
            <v>FUL</v>
          </cell>
        </row>
        <row r="286">
          <cell r="A286" t="str">
            <v>Alphonse Areola</v>
          </cell>
          <cell r="B286" t="str">
            <v>Areola</v>
          </cell>
          <cell r="E286">
            <v>3.0159777319526189</v>
          </cell>
          <cell r="F286">
            <v>2.0521172638436482</v>
          </cell>
          <cell r="G286">
            <v>2</v>
          </cell>
          <cell r="H286">
            <v>3.0159777319526189</v>
          </cell>
          <cell r="I286">
            <v>2.0521172638436482</v>
          </cell>
          <cell r="J286">
            <v>0</v>
          </cell>
          <cell r="K286">
            <v>2.7268195915199271</v>
          </cell>
          <cell r="L286" t="str">
            <v>GK</v>
          </cell>
          <cell r="M286" t="str">
            <v>WHU</v>
          </cell>
        </row>
        <row r="287">
          <cell r="A287" t="str">
            <v>Nathan Patterson</v>
          </cell>
          <cell r="B287" t="str">
            <v>Patterson</v>
          </cell>
          <cell r="E287">
            <v>3.0357584066443399</v>
          </cell>
          <cell r="F287">
            <v>1.9952904238618525</v>
          </cell>
          <cell r="G287">
            <v>2.0209965786305766</v>
          </cell>
          <cell r="H287">
            <v>3.0357584066443399</v>
          </cell>
          <cell r="I287">
            <v>1.9952904238618525</v>
          </cell>
          <cell r="J287">
            <v>2.0465557165548742</v>
          </cell>
          <cell r="K287">
            <v>2.7236180118095938</v>
          </cell>
          <cell r="L287" t="str">
            <v>DEF</v>
          </cell>
          <cell r="M287" t="str">
            <v>EVE</v>
          </cell>
        </row>
        <row r="288">
          <cell r="A288" t="str">
            <v>Scott McTominay</v>
          </cell>
          <cell r="B288" t="str">
            <v>McTominay</v>
          </cell>
          <cell r="E288">
            <v>2.696372859545459</v>
          </cell>
          <cell r="F288">
            <v>2.7563968668407313</v>
          </cell>
          <cell r="G288">
            <v>2.3750668090879166</v>
          </cell>
          <cell r="H288">
            <v>2.696372859545459</v>
          </cell>
          <cell r="I288">
            <v>2.6631853785900783</v>
          </cell>
          <cell r="J288">
            <v>2.6519387259528142</v>
          </cell>
          <cell r="K288">
            <v>2.7143800617340403</v>
          </cell>
          <cell r="L288" t="str">
            <v>MID</v>
          </cell>
          <cell r="M288" t="str">
            <v>MUN</v>
          </cell>
        </row>
        <row r="289">
          <cell r="A289" t="str">
            <v>Kevin Mbabu</v>
          </cell>
          <cell r="B289" t="str">
            <v>Mbabu</v>
          </cell>
          <cell r="E289">
            <v>2.8818933229890633</v>
          </cell>
          <cell r="F289">
            <v>2.1843971631205674</v>
          </cell>
          <cell r="G289">
            <v>1.6879432624113475</v>
          </cell>
          <cell r="H289">
            <v>2.8818933229890633</v>
          </cell>
          <cell r="I289">
            <v>2.1843971631205674</v>
          </cell>
          <cell r="J289">
            <v>0</v>
          </cell>
          <cell r="K289">
            <v>2.6726444750285143</v>
          </cell>
          <cell r="L289" t="str">
            <v>DEF</v>
          </cell>
          <cell r="M289" t="str">
            <v>FUL</v>
          </cell>
        </row>
        <row r="290">
          <cell r="A290" t="str">
            <v>Wout Weghorst</v>
          </cell>
          <cell r="E290">
            <v>2.9259569620253165</v>
          </cell>
          <cell r="F290">
            <v>2.0659746835443036</v>
          </cell>
          <cell r="G290">
            <v>1.9126455696202531</v>
          </cell>
          <cell r="H290">
            <v>2.9259569620253165</v>
          </cell>
          <cell r="I290">
            <v>2.0354430379746833</v>
          </cell>
          <cell r="J290">
            <v>0</v>
          </cell>
          <cell r="K290">
            <v>2.6679622784810126</v>
          </cell>
          <cell r="L290" t="str">
            <v>FWD</v>
          </cell>
          <cell r="M290" t="str">
            <v>BUR</v>
          </cell>
        </row>
        <row r="291">
          <cell r="A291" t="str">
            <v>Leander Dendoncker</v>
          </cell>
          <cell r="B291" t="str">
            <v>Dendoncker</v>
          </cell>
          <cell r="E291">
            <v>2.4634936332531985</v>
          </cell>
          <cell r="F291">
            <v>3.1378404204491157</v>
          </cell>
          <cell r="G291">
            <v>2</v>
          </cell>
          <cell r="H291">
            <v>2.4634936332531985</v>
          </cell>
          <cell r="I291">
            <v>3.0936454849498327</v>
          </cell>
          <cell r="J291">
            <v>0</v>
          </cell>
          <cell r="K291">
            <v>2.6657976694119734</v>
          </cell>
          <cell r="L291" t="str">
            <v>MID</v>
          </cell>
          <cell r="M291" t="str">
            <v>AVL</v>
          </cell>
        </row>
        <row r="292">
          <cell r="A292" t="str">
            <v>Nélson Cabral Semedo</v>
          </cell>
          <cell r="B292" t="str">
            <v>N.Semedo</v>
          </cell>
          <cell r="C292" t="str">
            <v>Nélson Semedo</v>
          </cell>
          <cell r="E292">
            <v>2.7826108623674006</v>
          </cell>
          <cell r="F292">
            <v>2.3642233194075204</v>
          </cell>
          <cell r="G292">
            <v>1.9537302357043125</v>
          </cell>
          <cell r="H292">
            <v>2.7826108623674006</v>
          </cell>
          <cell r="I292">
            <v>2.3642233194075204</v>
          </cell>
          <cell r="J292">
            <v>2.3422784894416893</v>
          </cell>
          <cell r="K292">
            <v>2.6570945994794362</v>
          </cell>
          <cell r="L292" t="str">
            <v>DEF</v>
          </cell>
          <cell r="M292" t="str">
            <v>WOL</v>
          </cell>
        </row>
        <row r="293">
          <cell r="A293" t="str">
            <v>Pape Matar Sarr</v>
          </cell>
          <cell r="B293" t="str">
            <v>Sarr</v>
          </cell>
          <cell r="C293" t="str">
            <v>P Sarr</v>
          </cell>
          <cell r="E293">
            <v>2.3751070319141685</v>
          </cell>
          <cell r="F293">
            <v>3.2511848341232228</v>
          </cell>
          <cell r="G293">
            <v>1.7677725118483412</v>
          </cell>
          <cell r="H293">
            <v>2.3751070319141685</v>
          </cell>
          <cell r="I293">
            <v>3.2511848341232228</v>
          </cell>
          <cell r="J293">
            <v>0</v>
          </cell>
          <cell r="K293">
            <v>2.6379303725768848</v>
          </cell>
          <cell r="L293" t="str">
            <v>MID</v>
          </cell>
          <cell r="M293" t="str">
            <v>TOT</v>
          </cell>
        </row>
        <row r="294">
          <cell r="A294" t="str">
            <v>Tosin Adarabioyo</v>
          </cell>
          <cell r="B294" t="str">
            <v>Tosin</v>
          </cell>
          <cell r="C294" t="str">
            <v>Adarabioyo</v>
          </cell>
          <cell r="E294">
            <v>2.847226676196752</v>
          </cell>
          <cell r="F294">
            <v>2.1161228406909789</v>
          </cell>
          <cell r="G294">
            <v>2.0982187003090935</v>
          </cell>
          <cell r="H294">
            <v>2.847226676196752</v>
          </cell>
          <cell r="I294">
            <v>2.1161228406909789</v>
          </cell>
          <cell r="J294">
            <v>2.0934060159030667</v>
          </cell>
          <cell r="K294">
            <v>2.62789552554502</v>
          </cell>
          <cell r="L294" t="str">
            <v>DEF</v>
          </cell>
          <cell r="M294" t="str">
            <v>FUL</v>
          </cell>
        </row>
        <row r="295">
          <cell r="A295" t="str">
            <v>Donny van de Beek</v>
          </cell>
          <cell r="B295" t="str">
            <v>Van de Beek</v>
          </cell>
          <cell r="E295">
            <v>2.5692900834822447</v>
          </cell>
          <cell r="F295">
            <v>2.7160493827160499</v>
          </cell>
          <cell r="G295">
            <v>2</v>
          </cell>
          <cell r="H295">
            <v>2.5692900834822447</v>
          </cell>
          <cell r="I295">
            <v>2.7160493827160499</v>
          </cell>
          <cell r="J295">
            <v>0</v>
          </cell>
          <cell r="K295">
            <v>2.6133178732523863</v>
          </cell>
          <cell r="L295" t="str">
            <v>MID</v>
          </cell>
          <cell r="M295" t="str">
            <v>MUN</v>
          </cell>
        </row>
        <row r="296">
          <cell r="A296" t="str">
            <v>Adam Smith</v>
          </cell>
          <cell r="B296" t="str">
            <v>Smith</v>
          </cell>
          <cell r="C296" t="str">
            <v>A Smith</v>
          </cell>
          <cell r="E296">
            <v>2.8226291199212015</v>
          </cell>
          <cell r="F296">
            <v>2.1142857142857143</v>
          </cell>
          <cell r="G296">
            <v>2.0083171058461047</v>
          </cell>
          <cell r="H296">
            <v>2.8226291199212015</v>
          </cell>
          <cell r="I296">
            <v>2.1142857142857143</v>
          </cell>
          <cell r="J296">
            <v>2.0994474690702285</v>
          </cell>
          <cell r="K296">
            <v>2.610126098230555</v>
          </cell>
          <cell r="L296" t="str">
            <v>DEF</v>
          </cell>
          <cell r="M296" t="str">
            <v>BOU</v>
          </cell>
        </row>
        <row r="297">
          <cell r="A297" t="str">
            <v>Ryan Fraser</v>
          </cell>
          <cell r="B297" t="str">
            <v>Fraser</v>
          </cell>
          <cell r="E297">
            <v>2.6996184885575749</v>
          </cell>
          <cell r="F297">
            <v>2.3928571428571428</v>
          </cell>
          <cell r="G297">
            <v>1.7824675324675323</v>
          </cell>
          <cell r="H297">
            <v>2.6996184885575749</v>
          </cell>
          <cell r="I297">
            <v>2.3928571428571428</v>
          </cell>
          <cell r="J297">
            <v>0</v>
          </cell>
          <cell r="K297">
            <v>2.6075900848474451</v>
          </cell>
          <cell r="L297" t="str">
            <v>MID</v>
          </cell>
          <cell r="M297" t="str">
            <v>NEW</v>
          </cell>
        </row>
        <row r="298">
          <cell r="A298" t="str">
            <v>Ryan Yates</v>
          </cell>
          <cell r="B298" t="str">
            <v>Yates</v>
          </cell>
          <cell r="E298">
            <v>2.6772798980273644</v>
          </cell>
          <cell r="F298">
            <v>2.4201309328968903</v>
          </cell>
          <cell r="G298">
            <v>2.4214825370227619</v>
          </cell>
          <cell r="H298">
            <v>2.6772798980273644</v>
          </cell>
          <cell r="I298">
            <v>2.342062193126023</v>
          </cell>
          <cell r="J298">
            <v>2.3308887963785363</v>
          </cell>
          <cell r="K298">
            <v>2.6001352084882221</v>
          </cell>
          <cell r="L298" t="str">
            <v>MID</v>
          </cell>
          <cell r="M298" t="str">
            <v>NFO</v>
          </cell>
        </row>
        <row r="299">
          <cell r="A299" t="str">
            <v>Chris Mepham</v>
          </cell>
          <cell r="B299" t="str">
            <v>Mepham</v>
          </cell>
          <cell r="E299">
            <v>2.9331659730785269</v>
          </cell>
          <cell r="F299">
            <v>1.7614929449248975</v>
          </cell>
          <cell r="G299">
            <v>2.1339056697280925</v>
          </cell>
          <cell r="H299">
            <v>2.9331659730785269</v>
          </cell>
          <cell r="I299">
            <v>1.7614929449248975</v>
          </cell>
          <cell r="J299">
            <v>1.7493229927478993</v>
          </cell>
          <cell r="K299">
            <v>2.581664064632438</v>
          </cell>
          <cell r="L299" t="str">
            <v>DEF</v>
          </cell>
          <cell r="M299" t="str">
            <v>BOU</v>
          </cell>
        </row>
        <row r="300">
          <cell r="A300" t="str">
            <v>Scott McKenna</v>
          </cell>
          <cell r="B300" t="str">
            <v>McKenna</v>
          </cell>
          <cell r="E300">
            <v>2.7670521048746304</v>
          </cell>
          <cell r="F300">
            <v>2.089171974522293</v>
          </cell>
          <cell r="G300">
            <v>1.9607863575239535</v>
          </cell>
          <cell r="H300">
            <v>2.7670521048746304</v>
          </cell>
          <cell r="I300">
            <v>2.089171974522293</v>
          </cell>
          <cell r="J300">
            <v>2.0891959395624644</v>
          </cell>
          <cell r="K300">
            <v>2.5636880657689289</v>
          </cell>
          <cell r="L300" t="str">
            <v>DEF</v>
          </cell>
          <cell r="M300" t="str">
            <v>NFO</v>
          </cell>
        </row>
        <row r="301">
          <cell r="A301" t="str">
            <v>Cheikhou Kouyaté</v>
          </cell>
          <cell r="B301" t="str">
            <v>Kouyaté</v>
          </cell>
          <cell r="C301" t="str">
            <v>Kouyate</v>
          </cell>
          <cell r="E301">
            <v>2.4578649505082049</v>
          </cell>
          <cell r="F301">
            <v>2.7461538461538462</v>
          </cell>
          <cell r="G301">
            <v>1.9211481056257176</v>
          </cell>
          <cell r="H301">
            <v>2.4578649505082049</v>
          </cell>
          <cell r="I301">
            <v>2.7324913892078073</v>
          </cell>
          <cell r="J301">
            <v>0</v>
          </cell>
          <cell r="K301">
            <v>2.5443516192018971</v>
          </cell>
          <cell r="L301" t="str">
            <v>MID</v>
          </cell>
          <cell r="M301" t="str">
            <v>NFO</v>
          </cell>
        </row>
        <row r="302">
          <cell r="A302" t="str">
            <v>Lewis Cook</v>
          </cell>
          <cell r="B302" t="str">
            <v>L.Cook</v>
          </cell>
          <cell r="C302" t="str">
            <v>L Cook</v>
          </cell>
          <cell r="E302">
            <v>2.4913075344358977</v>
          </cell>
          <cell r="F302">
            <v>2.5996495327102798</v>
          </cell>
          <cell r="G302">
            <v>2.2432121683386907</v>
          </cell>
          <cell r="H302">
            <v>2.4913075344358977</v>
          </cell>
          <cell r="I302">
            <v>2.5023364485981308</v>
          </cell>
          <cell r="J302">
            <v>2.4747865733170133</v>
          </cell>
          <cell r="K302">
            <v>2.5238101339182122</v>
          </cell>
          <cell r="L302" t="str">
            <v>MID</v>
          </cell>
          <cell r="M302" t="str">
            <v>BOU</v>
          </cell>
        </row>
        <row r="303">
          <cell r="A303" t="str">
            <v>Flynn Downes</v>
          </cell>
          <cell r="B303" t="str">
            <v>Downes</v>
          </cell>
          <cell r="E303">
            <v>2.3078001377339219</v>
          </cell>
          <cell r="F303">
            <v>2.9862082066869302</v>
          </cell>
          <cell r="G303">
            <v>1.7756838905775076</v>
          </cell>
          <cell r="H303">
            <v>2.3078001377339219</v>
          </cell>
          <cell r="I303">
            <v>2.9441489361702131</v>
          </cell>
          <cell r="J303">
            <v>0</v>
          </cell>
          <cell r="K303">
            <v>2.5113225584198244</v>
          </cell>
          <cell r="L303" t="str">
            <v>MID</v>
          </cell>
          <cell r="M303" t="str">
            <v>WHU</v>
          </cell>
        </row>
        <row r="304">
          <cell r="A304" t="str">
            <v>Lewis O'Brien</v>
          </cell>
          <cell r="B304" t="str">
            <v>O'Brien</v>
          </cell>
          <cell r="E304">
            <v>2.2187887721526822</v>
          </cell>
          <cell r="F304">
            <v>3.0040657439446363</v>
          </cell>
          <cell r="G304">
            <v>1.720242214532872</v>
          </cell>
          <cell r="H304">
            <v>2.2187887721526822</v>
          </cell>
          <cell r="I304">
            <v>2.9307958477508649</v>
          </cell>
          <cell r="J304">
            <v>0</v>
          </cell>
          <cell r="K304">
            <v>2.4543718636902683</v>
          </cell>
          <cell r="L304" t="str">
            <v>MID</v>
          </cell>
          <cell r="M304" t="str">
            <v>NFO</v>
          </cell>
        </row>
        <row r="305">
          <cell r="A305" t="str">
            <v>Moisés Caicedo Corozo</v>
          </cell>
          <cell r="B305" t="str">
            <v>Caicedo</v>
          </cell>
          <cell r="C305" t="str">
            <v>Moises Caicedo</v>
          </cell>
          <cell r="D305" t="str">
            <v>Moisés Caicedo</v>
          </cell>
          <cell r="E305">
            <v>2.4756672724337476</v>
          </cell>
          <cell r="F305">
            <v>2.3394490683462674</v>
          </cell>
          <cell r="G305">
            <v>2.2160333175664939</v>
          </cell>
          <cell r="H305">
            <v>2.4756672724337476</v>
          </cell>
          <cell r="I305">
            <v>2.2405991077119185</v>
          </cell>
          <cell r="J305">
            <v>2.2913012917288458</v>
          </cell>
          <cell r="K305">
            <v>2.4348018112075032</v>
          </cell>
          <cell r="L305" t="str">
            <v>MID</v>
          </cell>
          <cell r="M305" t="str">
            <v>BHA</v>
          </cell>
        </row>
        <row r="306">
          <cell r="A306" t="str">
            <v>Ryan Fredericks</v>
          </cell>
          <cell r="B306" t="str">
            <v>Fredericks</v>
          </cell>
          <cell r="E306">
            <v>2.7518118490005197</v>
          </cell>
          <cell r="F306">
            <v>1.685009487666034</v>
          </cell>
          <cell r="G306">
            <v>1.856774193548387</v>
          </cell>
          <cell r="H306">
            <v>2.7518118490005197</v>
          </cell>
          <cell r="I306">
            <v>1.685009487666034</v>
          </cell>
          <cell r="J306">
            <v>0</v>
          </cell>
          <cell r="K306">
            <v>2.4317711406001736</v>
          </cell>
          <cell r="L306" t="str">
            <v>DEF</v>
          </cell>
          <cell r="M306" t="str">
            <v>BOU</v>
          </cell>
        </row>
        <row r="307">
          <cell r="A307" t="str">
            <v>Albert Sambi Lokonga</v>
          </cell>
          <cell r="B307" t="str">
            <v>Sambi</v>
          </cell>
          <cell r="C307" t="str">
            <v>Lokonga</v>
          </cell>
          <cell r="E307">
            <v>2.3302791519062356</v>
          </cell>
          <cell r="F307">
            <v>2.6554258241758237</v>
          </cell>
          <cell r="G307">
            <v>2</v>
          </cell>
          <cell r="H307">
            <v>2.3302791519062356</v>
          </cell>
          <cell r="I307">
            <v>2.5906593406593403</v>
          </cell>
          <cell r="J307">
            <v>0</v>
          </cell>
          <cell r="K307">
            <v>2.427823153587112</v>
          </cell>
          <cell r="L307" t="str">
            <v>MID</v>
          </cell>
          <cell r="M307" t="str">
            <v>ARS</v>
          </cell>
        </row>
        <row r="308">
          <cell r="A308" t="str">
            <v>João Palhinha Gonçalves</v>
          </cell>
          <cell r="B308" t="str">
            <v>J.Palhinha</v>
          </cell>
          <cell r="C308" t="str">
            <v>Joao Palhinha</v>
          </cell>
          <cell r="D308" t="str">
            <v>João Palhinha</v>
          </cell>
          <cell r="E308">
            <v>2.3956150012697113</v>
          </cell>
          <cell r="F308">
            <v>2.4786311822026104</v>
          </cell>
          <cell r="G308">
            <v>2.1591207975972755</v>
          </cell>
          <cell r="H308">
            <v>2.3956150012697113</v>
          </cell>
          <cell r="I308">
            <v>2.3767696267696268</v>
          </cell>
          <cell r="J308">
            <v>2.3655107439544816</v>
          </cell>
          <cell r="K308">
            <v>2.420519855549581</v>
          </cell>
          <cell r="L308" t="str">
            <v>MID</v>
          </cell>
          <cell r="M308" t="str">
            <v>FUL</v>
          </cell>
        </row>
        <row r="309">
          <cell r="A309" t="str">
            <v>Joe Rothwell</v>
          </cell>
          <cell r="B309" t="str">
            <v>Rothwell</v>
          </cell>
          <cell r="E309">
            <v>2.4280940208465145</v>
          </cell>
          <cell r="F309">
            <v>2.3487995049504948</v>
          </cell>
          <cell r="G309">
            <v>1.9279455445544555</v>
          </cell>
          <cell r="H309">
            <v>2.4280940208465145</v>
          </cell>
          <cell r="I309">
            <v>2.3198019801980196</v>
          </cell>
          <cell r="J309">
            <v>0</v>
          </cell>
          <cell r="K309">
            <v>2.4043056660777085</v>
          </cell>
          <cell r="L309" t="str">
            <v>MID</v>
          </cell>
          <cell r="M309" t="str">
            <v>BOU</v>
          </cell>
        </row>
        <row r="310">
          <cell r="A310" t="str">
            <v>Cheick Doucouré</v>
          </cell>
          <cell r="B310" t="str">
            <v>C.Doucouré</v>
          </cell>
          <cell r="C310" t="str">
            <v>C.Doucoure</v>
          </cell>
          <cell r="D310" t="str">
            <v>Abdoulaye Doucoure</v>
          </cell>
          <cell r="E310">
            <v>2.4712390849280208</v>
          </cell>
          <cell r="F310">
            <v>2.2148141856020387</v>
          </cell>
          <cell r="G310">
            <v>2.173492830768132</v>
          </cell>
          <cell r="H310">
            <v>2.4712390849280208</v>
          </cell>
          <cell r="I310">
            <v>2.1638989169675091</v>
          </cell>
          <cell r="J310">
            <v>2.1836903853566758</v>
          </cell>
          <cell r="K310">
            <v>2.3943116151302259</v>
          </cell>
          <cell r="L310" t="str">
            <v>MID</v>
          </cell>
          <cell r="M310" t="str">
            <v>CRY</v>
          </cell>
        </row>
        <row r="311">
          <cell r="A311" t="str">
            <v>Steve Cook</v>
          </cell>
          <cell r="B311" t="str">
            <v>Cook</v>
          </cell>
          <cell r="C311" t="str">
            <v>S Cook</v>
          </cell>
          <cell r="E311">
            <v>2.6452044480122057</v>
          </cell>
          <cell r="F311">
            <v>1.7991631799163179</v>
          </cell>
          <cell r="G311">
            <v>1.6139977177634082</v>
          </cell>
          <cell r="H311">
            <v>2.6452044480122057</v>
          </cell>
          <cell r="I311">
            <v>1.7991631799163179</v>
          </cell>
          <cell r="J311">
            <v>0</v>
          </cell>
          <cell r="K311">
            <v>2.391392067583439</v>
          </cell>
          <cell r="L311" t="str">
            <v>DEF</v>
          </cell>
          <cell r="M311" t="str">
            <v>NFO</v>
          </cell>
        </row>
        <row r="312">
          <cell r="A312" t="str">
            <v>Thiago Alcántara do Nascimento</v>
          </cell>
          <cell r="B312" t="str">
            <v>Thiago</v>
          </cell>
          <cell r="C312" t="str">
            <v>Thiago Alcántara</v>
          </cell>
          <cell r="E312">
            <v>2.5063498971344274</v>
          </cell>
          <cell r="F312">
            <v>2.0280123231401181</v>
          </cell>
          <cell r="G312">
            <v>2.2074278816264257</v>
          </cell>
          <cell r="H312">
            <v>2.5063498971344274</v>
          </cell>
          <cell r="I312">
            <v>1.9648562300319485</v>
          </cell>
          <cell r="J312">
            <v>1.9620260387811634</v>
          </cell>
          <cell r="K312">
            <v>2.3628486249361345</v>
          </cell>
          <cell r="L312" t="str">
            <v>MID</v>
          </cell>
          <cell r="M312" t="str">
            <v>LIV</v>
          </cell>
        </row>
        <row r="313">
          <cell r="A313" t="str">
            <v>Pedro Lomba Neto</v>
          </cell>
          <cell r="B313" t="str">
            <v>Neto</v>
          </cell>
          <cell r="C313" t="str">
            <v>P Neto</v>
          </cell>
          <cell r="E313">
            <v>1.8001328045207632</v>
          </cell>
          <cell r="F313">
            <v>3.547578347578348</v>
          </cell>
          <cell r="G313">
            <v>1.5988603988603989</v>
          </cell>
          <cell r="H313">
            <v>1.8001328045207632</v>
          </cell>
          <cell r="I313">
            <v>3.3846153846153846</v>
          </cell>
          <cell r="J313">
            <v>1.3545373870903674</v>
          </cell>
          <cell r="K313">
            <v>2.3243664674380384</v>
          </cell>
          <cell r="L313" t="str">
            <v>MID</v>
          </cell>
          <cell r="M313" t="str">
            <v>WOL</v>
          </cell>
        </row>
        <row r="314">
          <cell r="A314" t="str">
            <v>David Brooks</v>
          </cell>
          <cell r="B314" t="str">
            <v>Brooks</v>
          </cell>
          <cell r="E314">
            <v>2.5732471267974644</v>
          </cell>
          <cell r="F314">
            <v>1.6176470588235294</v>
          </cell>
          <cell r="G314">
            <v>1.6764705882352942</v>
          </cell>
          <cell r="H314">
            <v>2.5732471267974644</v>
          </cell>
          <cell r="I314">
            <v>1.6176470588235294</v>
          </cell>
          <cell r="J314">
            <v>0</v>
          </cell>
          <cell r="K314">
            <v>2.2865671064052835</v>
          </cell>
          <cell r="L314" t="str">
            <v>MID</v>
          </cell>
          <cell r="M314" t="str">
            <v>BOU</v>
          </cell>
        </row>
        <row r="315">
          <cell r="A315" t="str">
            <v>Orel Mangala</v>
          </cell>
          <cell r="B315" t="str">
            <v>Mangala</v>
          </cell>
          <cell r="E315">
            <v>2.2659907686500871</v>
          </cell>
          <cell r="F315">
            <v>2.2966623460790667</v>
          </cell>
          <cell r="G315">
            <v>2.0477116390732237</v>
          </cell>
          <cell r="H315">
            <v>2.2659907686500871</v>
          </cell>
          <cell r="I315">
            <v>2.268308489954634</v>
          </cell>
          <cell r="J315">
            <v>2.2521959252971149</v>
          </cell>
          <cell r="K315">
            <v>2.2751922418787807</v>
          </cell>
          <cell r="L315" t="str">
            <v>MID</v>
          </cell>
          <cell r="M315" t="str">
            <v>NFO</v>
          </cell>
        </row>
        <row r="316">
          <cell r="A316" t="str">
            <v>Fabio Henrique Tavares</v>
          </cell>
          <cell r="B316" t="str">
            <v>Fabinho</v>
          </cell>
          <cell r="E316">
            <v>2.2369628608770937</v>
          </cell>
          <cell r="F316">
            <v>2.2224911066476292</v>
          </cell>
          <cell r="G316">
            <v>1.9409312508940397</v>
          </cell>
          <cell r="H316">
            <v>2.2369628608770937</v>
          </cell>
          <cell r="I316">
            <v>2.1530382595648909</v>
          </cell>
          <cell r="J316">
            <v>2.1493403929141461</v>
          </cell>
          <cell r="K316">
            <v>2.232621334608254</v>
          </cell>
          <cell r="L316" t="str">
            <v>MID</v>
          </cell>
          <cell r="M316" t="str">
            <v>LIV</v>
          </cell>
        </row>
        <row r="317">
          <cell r="A317" t="str">
            <v>Boubacar Kamara</v>
          </cell>
          <cell r="B317" t="str">
            <v>Kamara</v>
          </cell>
          <cell r="E317">
            <v>2.2501001553000153</v>
          </cell>
          <cell r="F317">
            <v>2.1284451964655009</v>
          </cell>
          <cell r="G317">
            <v>1.9681470907924883</v>
          </cell>
          <cell r="H317">
            <v>2.2501001553000153</v>
          </cell>
          <cell r="I317">
            <v>2.059785673998872</v>
          </cell>
          <cell r="J317">
            <v>2.0786422945828278</v>
          </cell>
          <cell r="K317">
            <v>2.2136036676496609</v>
          </cell>
          <cell r="L317" t="str">
            <v>MID</v>
          </cell>
          <cell r="M317" t="str">
            <v>AVL</v>
          </cell>
        </row>
        <row r="318">
          <cell r="A318" t="str">
            <v>Oliver Skipp</v>
          </cell>
          <cell r="B318" t="str">
            <v>Skipp</v>
          </cell>
          <cell r="E318">
            <v>2.1143742433969699</v>
          </cell>
          <cell r="F318">
            <v>2.4206551749869409</v>
          </cell>
          <cell r="G318">
            <v>1.8340475581743736</v>
          </cell>
          <cell r="H318">
            <v>2.1143742433969699</v>
          </cell>
          <cell r="I318">
            <v>2.3680322364002686</v>
          </cell>
          <cell r="J318">
            <v>2.3587763795404011</v>
          </cell>
          <cell r="K318">
            <v>2.2062585228739611</v>
          </cell>
          <cell r="L318" t="str">
            <v>MID</v>
          </cell>
          <cell r="M318" t="str">
            <v>TOT</v>
          </cell>
        </row>
        <row r="319">
          <cell r="A319" t="str">
            <v>Remo Freuler</v>
          </cell>
          <cell r="B319" t="str">
            <v>Freuler</v>
          </cell>
          <cell r="E319">
            <v>2.2178235548459893</v>
          </cell>
          <cell r="F319">
            <v>2.1730180806675934</v>
          </cell>
          <cell r="G319">
            <v>2.0026527156254894</v>
          </cell>
          <cell r="H319">
            <v>2.2178235548459893</v>
          </cell>
          <cell r="I319">
            <v>2.1029207232267035</v>
          </cell>
          <cell r="J319">
            <v>2.0935729637838243</v>
          </cell>
          <cell r="K319">
            <v>2.2043819125924706</v>
          </cell>
          <cell r="L319" t="str">
            <v>MID</v>
          </cell>
          <cell r="M319" t="str">
            <v>NFO</v>
          </cell>
        </row>
        <row r="320">
          <cell r="A320" t="str">
            <v>Yves Bissouma</v>
          </cell>
          <cell r="B320" t="str">
            <v>Bissouma</v>
          </cell>
          <cell r="E320">
            <v>1.9754965334639176</v>
          </cell>
          <cell r="F320">
            <v>2.2352104208416836</v>
          </cell>
          <cell r="G320">
            <v>1.4935470941883766</v>
          </cell>
          <cell r="H320">
            <v>1.9754965334639176</v>
          </cell>
          <cell r="I320">
            <v>2.1913827655310625</v>
          </cell>
          <cell r="J320">
            <v>0</v>
          </cell>
          <cell r="K320">
            <v>2.0534106996772472</v>
          </cell>
          <cell r="L320" t="str">
            <v>MID</v>
          </cell>
          <cell r="M320" t="str">
            <v>TOT</v>
          </cell>
        </row>
        <row r="321">
          <cell r="A321" t="str">
            <v>Ben Pearson</v>
          </cell>
          <cell r="B321" t="str">
            <v>Pearson</v>
          </cell>
          <cell r="E321">
            <v>1.9572824019617874</v>
          </cell>
          <cell r="F321">
            <v>2.2388297872340424</v>
          </cell>
          <cell r="G321">
            <v>1.7471631205673759</v>
          </cell>
          <cell r="H321">
            <v>1.9572824019617874</v>
          </cell>
          <cell r="I321">
            <v>2.2021276595744679</v>
          </cell>
          <cell r="J321">
            <v>0</v>
          </cell>
          <cell r="K321">
            <v>2.0417466175434638</v>
          </cell>
          <cell r="L321" t="str">
            <v>MID</v>
          </cell>
          <cell r="M321" t="str">
            <v>BOU</v>
          </cell>
        </row>
        <row r="322">
          <cell r="A322" t="str">
            <v>Jamaal Lascelles</v>
          </cell>
          <cell r="B322" t="str">
            <v>Lascelles</v>
          </cell>
          <cell r="E322">
            <v>1.6144306612468868</v>
          </cell>
          <cell r="F322">
            <v>1.261682242990654</v>
          </cell>
          <cell r="G322">
            <v>0.14953271028037363</v>
          </cell>
          <cell r="H322">
            <v>1.6144306612468868</v>
          </cell>
          <cell r="I322">
            <v>1.261682242990654</v>
          </cell>
          <cell r="J322">
            <v>0</v>
          </cell>
          <cell r="K322">
            <v>1.5086061357700169</v>
          </cell>
          <cell r="L322" t="str">
            <v>DEF</v>
          </cell>
          <cell r="M322" t="str">
            <v>NEW</v>
          </cell>
        </row>
        <row r="323">
          <cell r="A323" t="str">
            <v>Diogo Teixeira da Silva</v>
          </cell>
          <cell r="B323" t="str">
            <v>Diogo J.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 t="str">
            <v>MID</v>
          </cell>
          <cell r="M323" t="str">
            <v>LIV</v>
          </cell>
        </row>
        <row r="324">
          <cell r="A324" t="str">
            <v>Alexandre Moreno Lopera</v>
          </cell>
          <cell r="B324" t="str">
            <v>Alex Moreno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 t="str">
            <v>DEF</v>
          </cell>
          <cell r="M324" t="str">
            <v>AVL</v>
          </cell>
        </row>
        <row r="325">
          <cell r="A325" t="str">
            <v>Ederson Santana de Moraes</v>
          </cell>
          <cell r="B325" t="str">
            <v>Ederson M.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 t="str">
            <v>GK</v>
          </cell>
          <cell r="M325" t="str">
            <v>MCI</v>
          </cell>
        </row>
        <row r="326">
          <cell r="A326" t="str">
            <v>Thiago Emiliano da Silva</v>
          </cell>
          <cell r="B326" t="str">
            <v>T.Silva</v>
          </cell>
          <cell r="C326" t="str">
            <v>T Silva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 t="str">
            <v>DEF</v>
          </cell>
          <cell r="M326" t="str">
            <v>CHE</v>
          </cell>
        </row>
        <row r="327">
          <cell r="A327" t="str">
            <v>Bruno Guimarães Rodriguez Moura</v>
          </cell>
          <cell r="B327" t="str">
            <v>Bruno G.</v>
          </cell>
          <cell r="C327" t="str">
            <v>Guimaraes</v>
          </cell>
          <cell r="D327" t="str">
            <v>BRUNO GUIMARAES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 t="str">
            <v>MID</v>
          </cell>
          <cell r="M327" t="str">
            <v>NEW</v>
          </cell>
        </row>
        <row r="328">
          <cell r="A328" t="str">
            <v>Djed Spence</v>
          </cell>
          <cell r="B328" t="str">
            <v>Spence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 t="str">
            <v>DEF</v>
          </cell>
          <cell r="M328" t="str">
            <v>TOT</v>
          </cell>
        </row>
        <row r="329">
          <cell r="A329" t="str">
            <v>Reiss Nelson</v>
          </cell>
          <cell r="B329" t="str">
            <v>Nelson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 t="str">
            <v>MID</v>
          </cell>
          <cell r="M329" t="str">
            <v>ARS</v>
          </cell>
        </row>
        <row r="330">
          <cell r="A330" t="str">
            <v>Emile Smith Rowe</v>
          </cell>
          <cell r="B330" t="str">
            <v>Smith Rowe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 t="str">
            <v>MID</v>
          </cell>
          <cell r="M330" t="str">
            <v>ARS</v>
          </cell>
        </row>
        <row r="331">
          <cell r="A331" t="str">
            <v>Neal Maupay</v>
          </cell>
          <cell r="B331" t="str">
            <v>Maupay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 t="str">
            <v>FWD</v>
          </cell>
          <cell r="M331" t="str">
            <v>EVE</v>
          </cell>
        </row>
        <row r="332">
          <cell r="A332" t="str">
            <v>Siriki Dembélé</v>
          </cell>
          <cell r="B332" t="str">
            <v>Siriki</v>
          </cell>
          <cell r="C332" t="str">
            <v>Dembele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 t="str">
            <v>MID</v>
          </cell>
          <cell r="M332" t="str">
            <v>BOU</v>
          </cell>
        </row>
        <row r="333">
          <cell r="A333" t="str">
            <v>Matt Ritchie</v>
          </cell>
          <cell r="B333" t="str">
            <v>Ritchie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 t="str">
            <v>MID</v>
          </cell>
          <cell r="M333" t="str">
            <v>NEW</v>
          </cell>
        </row>
        <row r="334">
          <cell r="A334" t="str">
            <v>James Garner</v>
          </cell>
          <cell r="B334" t="str">
            <v>Garner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 t="str">
            <v>MID</v>
          </cell>
          <cell r="M334" t="str">
            <v>EVE</v>
          </cell>
        </row>
        <row r="335">
          <cell r="A335" t="str">
            <v>Billy Gilmour</v>
          </cell>
          <cell r="B335" t="str">
            <v>Gilmour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 t="str">
            <v>MID</v>
          </cell>
          <cell r="M335" t="str">
            <v>BHA</v>
          </cell>
        </row>
        <row r="336">
          <cell r="A336" t="str">
            <v>Willy Boly</v>
          </cell>
          <cell r="B336" t="str">
            <v>Boly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 t="str">
            <v>DEF</v>
          </cell>
          <cell r="M336" t="str">
            <v>NFO</v>
          </cell>
        </row>
        <row r="337">
          <cell r="A337" t="str">
            <v>Nathaniel Phillips</v>
          </cell>
          <cell r="B337" t="str">
            <v>Phillips</v>
          </cell>
          <cell r="C337" t="str">
            <v>N Phillips</v>
          </cell>
          <cell r="E337">
            <v>3.1812211294227835</v>
          </cell>
          <cell r="F337">
            <v>0</v>
          </cell>
          <cell r="G337">
            <v>2</v>
          </cell>
          <cell r="H337">
            <v>3.1812211294227835</v>
          </cell>
          <cell r="I337">
            <v>0</v>
          </cell>
          <cell r="J337">
            <v>0</v>
          </cell>
          <cell r="K337">
            <v>0</v>
          </cell>
          <cell r="L337" t="str">
            <v>DEF</v>
          </cell>
          <cell r="M337" t="str">
            <v>LIV</v>
          </cell>
        </row>
        <row r="338">
          <cell r="A338" t="str">
            <v>Julio Enciso</v>
          </cell>
          <cell r="B338" t="str">
            <v>Enciso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 t="str">
            <v>MID</v>
          </cell>
          <cell r="M338" t="str">
            <v>BHA</v>
          </cell>
        </row>
        <row r="339">
          <cell r="A339" t="str">
            <v>Mathias Jorgensen</v>
          </cell>
          <cell r="B339" t="str">
            <v>Zanka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 t="str">
            <v>DEF</v>
          </cell>
          <cell r="M339" t="str">
            <v>BRE</v>
          </cell>
        </row>
        <row r="340">
          <cell r="A340" t="str">
            <v>Toti António Gomes</v>
          </cell>
          <cell r="B340" t="str">
            <v>Toti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 t="str">
            <v>DEF</v>
          </cell>
          <cell r="M340" t="str">
            <v>WOL</v>
          </cell>
        </row>
        <row r="341">
          <cell r="A341" t="str">
            <v>Fábio Ferreira Vieira</v>
          </cell>
          <cell r="B341" t="str">
            <v>Fábio Vieira</v>
          </cell>
          <cell r="C341" t="str">
            <v>Vieira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 t="str">
            <v>MID</v>
          </cell>
          <cell r="M341" t="str">
            <v>ARS</v>
          </cell>
        </row>
        <row r="342">
          <cell r="A342" t="str">
            <v>Moussa Niakhaté</v>
          </cell>
          <cell r="B342" t="str">
            <v>Niakhaté</v>
          </cell>
          <cell r="C342" t="str">
            <v>Niakhate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 t="str">
            <v>DEF</v>
          </cell>
          <cell r="M342" t="str">
            <v>NFO</v>
          </cell>
        </row>
        <row r="343">
          <cell r="A343" t="str">
            <v>Stefan Ortega Moreno</v>
          </cell>
          <cell r="B343" t="str">
            <v>Ortega Moreno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 t="str">
            <v>GK</v>
          </cell>
          <cell r="M343" t="str">
            <v>MCI</v>
          </cell>
        </row>
        <row r="344">
          <cell r="A344" t="str">
            <v>Jeremy Sarmiento Morante</v>
          </cell>
          <cell r="B344" t="str">
            <v>Sarmiento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 t="str">
            <v>MID</v>
          </cell>
          <cell r="M344" t="str">
            <v>BHA</v>
          </cell>
        </row>
        <row r="345">
          <cell r="A345" t="str">
            <v>Jonjo Shelvey</v>
          </cell>
          <cell r="B345" t="str">
            <v>Shelvey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 t="str">
            <v>MID</v>
          </cell>
          <cell r="M345" t="str">
            <v>NFO</v>
          </cell>
        </row>
        <row r="346">
          <cell r="A346" t="str">
            <v>Martin Dubravka</v>
          </cell>
          <cell r="B346" t="str">
            <v>Dubravka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 t="str">
            <v>GK</v>
          </cell>
          <cell r="M346" t="str">
            <v>NEW</v>
          </cell>
        </row>
        <row r="347">
          <cell r="A347" t="str">
            <v>Cédric Alves Soares</v>
          </cell>
          <cell r="B347" t="str">
            <v>Cédric</v>
          </cell>
          <cell r="C347" t="str">
            <v>Cedric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 t="str">
            <v>DEF</v>
          </cell>
          <cell r="M347" t="str">
            <v>ARS</v>
          </cell>
        </row>
        <row r="348">
          <cell r="A348" t="str">
            <v>Cameron Archer</v>
          </cell>
          <cell r="B348" t="str">
            <v>Archer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 t="str">
            <v>FWD</v>
          </cell>
          <cell r="M348" t="str">
            <v>AVL</v>
          </cell>
        </row>
        <row r="349">
          <cell r="A349" t="str">
            <v>Jairo Riedewald</v>
          </cell>
          <cell r="B349" t="str">
            <v>Riedewald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 t="str">
            <v>MID</v>
          </cell>
          <cell r="M349" t="str">
            <v>CRY</v>
          </cell>
        </row>
        <row r="350">
          <cell r="A350" t="str">
            <v>Sergi Canós Tenés</v>
          </cell>
          <cell r="B350" t="str">
            <v>Canós</v>
          </cell>
          <cell r="C350" t="str">
            <v>Canos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 t="str">
            <v>MID</v>
          </cell>
          <cell r="M350" t="str">
            <v>BRE</v>
          </cell>
        </row>
        <row r="351">
          <cell r="A351" t="str">
            <v>Halil Dervişoğlu</v>
          </cell>
          <cell r="B351" t="str">
            <v>Dervişoğlu</v>
          </cell>
          <cell r="C351" t="str">
            <v>Dervisoglu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 t="str">
            <v>FWD</v>
          </cell>
          <cell r="M351" t="str">
            <v>BRE</v>
          </cell>
        </row>
        <row r="352">
          <cell r="A352" t="str">
            <v>Mads Bech Sørensen</v>
          </cell>
          <cell r="B352" t="str">
            <v>Bech</v>
          </cell>
          <cell r="C352" t="str">
            <v>Sorensen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 t="str">
            <v>DEF</v>
          </cell>
          <cell r="M352" t="str">
            <v>BRE</v>
          </cell>
        </row>
        <row r="353">
          <cell r="A353" t="str">
            <v>Facundo Pellistri Rebollo</v>
          </cell>
          <cell r="B353" t="str">
            <v>Pellistri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 t="str">
            <v>MID</v>
          </cell>
          <cell r="M353" t="str">
            <v>MUN</v>
          </cell>
        </row>
        <row r="354">
          <cell r="A354" t="str">
            <v>Javier Manquillo Gaitán</v>
          </cell>
          <cell r="B354" t="str">
            <v>Manquillo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 t="str">
            <v>DEF</v>
          </cell>
          <cell r="M354" t="str">
            <v>NEW</v>
          </cell>
        </row>
        <row r="355">
          <cell r="A355" t="str">
            <v>Malcolm Ebiowei</v>
          </cell>
          <cell r="B355" t="str">
            <v>Ebiowei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 t="str">
            <v>MID</v>
          </cell>
          <cell r="M355" t="str">
            <v>CRY</v>
          </cell>
        </row>
        <row r="356">
          <cell r="A356" t="str">
            <v>Morgan Sanson</v>
          </cell>
          <cell r="B356" t="str">
            <v>Sanson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 t="str">
            <v>MID</v>
          </cell>
          <cell r="M356" t="str">
            <v>AVL</v>
          </cell>
        </row>
        <row r="357">
          <cell r="A357" t="str">
            <v>Jamal Lowe</v>
          </cell>
          <cell r="B357" t="str">
            <v>Lowe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 t="str">
            <v>MID</v>
          </cell>
          <cell r="M357" t="str">
            <v>BOU</v>
          </cell>
        </row>
        <row r="358">
          <cell r="A358" t="str">
            <v>Dele Alli</v>
          </cell>
          <cell r="B358" t="str">
            <v>Dele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 t="str">
            <v>MID</v>
          </cell>
          <cell r="M358" t="str">
            <v>EVE</v>
          </cell>
        </row>
        <row r="359">
          <cell r="A359" t="str">
            <v>Caoimhin Kelleher</v>
          </cell>
          <cell r="B359" t="str">
            <v>Kelleher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 t="str">
            <v>GK</v>
          </cell>
          <cell r="M359" t="str">
            <v>LIV</v>
          </cell>
        </row>
        <row r="360">
          <cell r="A360" t="str">
            <v>Jamal Lewis</v>
          </cell>
          <cell r="B360" t="str">
            <v>J.Lewis</v>
          </cell>
          <cell r="C360" t="str">
            <v>J Lewis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 t="str">
            <v>DEF</v>
          </cell>
          <cell r="M360" t="str">
            <v>NEW</v>
          </cell>
        </row>
        <row r="361">
          <cell r="A361" t="str">
            <v>Giulian Biancone</v>
          </cell>
          <cell r="B361" t="str">
            <v>Biancone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 t="str">
            <v>DEF</v>
          </cell>
          <cell r="M361" t="str">
            <v>NFO</v>
          </cell>
        </row>
        <row r="362">
          <cell r="A362" t="str">
            <v>Nathan Redmond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 t="str">
            <v>MID</v>
          </cell>
          <cell r="M362" t="str">
            <v>BUR</v>
          </cell>
        </row>
        <row r="363">
          <cell r="A363" t="str">
            <v>Marcus Oliveira Alencar</v>
          </cell>
          <cell r="B363" t="str">
            <v>Marquinhos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 t="str">
            <v>MID</v>
          </cell>
          <cell r="M363" t="str">
            <v>ARS</v>
          </cell>
        </row>
        <row r="364">
          <cell r="A364" t="str">
            <v>Emiliano Marcondes</v>
          </cell>
          <cell r="B364" t="str">
            <v>Marcondes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 t="str">
            <v>MID</v>
          </cell>
          <cell r="M364" t="str">
            <v>BOU</v>
          </cell>
        </row>
        <row r="365">
          <cell r="A365" t="str">
            <v>Nathan Redmond</v>
          </cell>
          <cell r="B365" t="str">
            <v>Redmond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 t="str">
            <v>MID</v>
          </cell>
          <cell r="M365" t="str">
            <v>BUR</v>
          </cell>
        </row>
        <row r="366">
          <cell r="A366" t="str">
            <v>Tyrese Francois</v>
          </cell>
          <cell r="B366" t="str">
            <v>Francois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 t="str">
            <v>MID</v>
          </cell>
          <cell r="M366" t="str">
            <v>FUL</v>
          </cell>
        </row>
        <row r="367">
          <cell r="A367" t="str">
            <v>Emil Krafth</v>
          </cell>
          <cell r="B367" t="str">
            <v>Krafth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 t="str">
            <v>DEF</v>
          </cell>
          <cell r="M367" t="str">
            <v>NEW</v>
          </cell>
        </row>
        <row r="368">
          <cell r="A368" t="str">
            <v>Alex Mighten</v>
          </cell>
          <cell r="B368" t="str">
            <v>Mighten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 t="str">
            <v>MID</v>
          </cell>
          <cell r="M368" t="str">
            <v>NFO</v>
          </cell>
        </row>
        <row r="369">
          <cell r="A369" t="str">
            <v>Conor Coventry</v>
          </cell>
          <cell r="B369" t="str">
            <v>Coventry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 t="str">
            <v>MID</v>
          </cell>
          <cell r="M369" t="str">
            <v>WHU</v>
          </cell>
        </row>
        <row r="370">
          <cell r="A370" t="str">
            <v>Enock Agyei</v>
          </cell>
          <cell r="E370" t="e">
            <v>#DIV/0!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 t="str">
            <v>MID</v>
          </cell>
          <cell r="M370" t="str">
            <v>BUR</v>
          </cell>
        </row>
        <row r="371">
          <cell r="A371" t="str">
            <v>Ameen Al-Dakhil</v>
          </cell>
          <cell r="E371" t="e">
            <v>#DIV/0!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 t="str">
            <v>DEF</v>
          </cell>
          <cell r="M371" t="str">
            <v>BUR</v>
          </cell>
        </row>
        <row r="372">
          <cell r="A372" t="str">
            <v>Samuel Bastien</v>
          </cell>
          <cell r="E372" t="e">
            <v>#DIV/0!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 t="str">
            <v>MID</v>
          </cell>
          <cell r="M372" t="str">
            <v>BUR</v>
          </cell>
        </row>
        <row r="373">
          <cell r="A373" t="str">
            <v>Manuel Benson Hedilazio</v>
          </cell>
          <cell r="E373" t="e">
            <v>#DIV/0!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 t="str">
            <v>MID</v>
          </cell>
          <cell r="M373" t="str">
            <v>BUR</v>
          </cell>
        </row>
        <row r="374">
          <cell r="A374" t="str">
            <v>Jordan Beyer</v>
          </cell>
          <cell r="E374" t="e">
            <v>#DIV/0!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 t="str">
            <v>DEF</v>
          </cell>
          <cell r="M374" t="str">
            <v>BUR</v>
          </cell>
        </row>
        <row r="375">
          <cell r="A375" t="str">
            <v>Josh Brownhill</v>
          </cell>
          <cell r="E375" t="e">
            <v>#DIV/0!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 t="str">
            <v>MID</v>
          </cell>
          <cell r="M375" t="str">
            <v>BUR</v>
          </cell>
        </row>
        <row r="376">
          <cell r="A376" t="str">
            <v>Darko Churlinov</v>
          </cell>
          <cell r="E376" t="e">
            <v>#DIV/0!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 t="str">
            <v>MID</v>
          </cell>
          <cell r="M376" t="str">
            <v>BUR</v>
          </cell>
        </row>
        <row r="377">
          <cell r="A377" t="str">
            <v>Jack Cork</v>
          </cell>
          <cell r="E377" t="e">
            <v>#DIV/0!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 t="str">
            <v>MID</v>
          </cell>
          <cell r="M377" t="str">
            <v>BUR</v>
          </cell>
        </row>
        <row r="378">
          <cell r="A378" t="str">
            <v>Dara Costelloe</v>
          </cell>
          <cell r="E378" t="e">
            <v>#DIV/0!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 t="str">
            <v>MID</v>
          </cell>
          <cell r="M378" t="str">
            <v>BUR</v>
          </cell>
        </row>
        <row r="379">
          <cell r="A379" t="str">
            <v>Josh Cullen</v>
          </cell>
          <cell r="E379" t="e">
            <v>#DIV/0!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 t="str">
            <v>MID</v>
          </cell>
          <cell r="M379" t="str">
            <v>BUR</v>
          </cell>
        </row>
        <row r="380">
          <cell r="A380" t="str">
            <v>CJ Egan-Riley</v>
          </cell>
          <cell r="E380" t="e">
            <v>#DIV/0!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 t="str">
            <v>DEF</v>
          </cell>
          <cell r="M380" t="str">
            <v>BUR</v>
          </cell>
        </row>
        <row r="381">
          <cell r="A381" t="str">
            <v>Hjalmar Ekdal</v>
          </cell>
          <cell r="E381" t="e">
            <v>#DIV/0!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 t="str">
            <v>DEF</v>
          </cell>
          <cell r="M381" t="str">
            <v>BUR</v>
          </cell>
        </row>
        <row r="382">
          <cell r="A382" t="str">
            <v>Lyle Foster</v>
          </cell>
          <cell r="E382" t="e">
            <v>#DIV/0!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 t="str">
            <v>FWD</v>
          </cell>
          <cell r="M382" t="str">
            <v>BUR</v>
          </cell>
        </row>
        <row r="383">
          <cell r="A383" t="str">
            <v>Denis Franchi</v>
          </cell>
          <cell r="E383" t="e">
            <v>#DIV/0!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 t="str">
            <v>GK</v>
          </cell>
          <cell r="M383" t="str">
            <v>BUR</v>
          </cell>
        </row>
        <row r="384">
          <cell r="A384" t="str">
            <v>Jóhann Berg Gudmundsson</v>
          </cell>
          <cell r="E384" t="e">
            <v>#DIV/0!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 t="str">
            <v>MID</v>
          </cell>
          <cell r="M384" t="str">
            <v>BUR</v>
          </cell>
        </row>
        <row r="385">
          <cell r="A385" t="str">
            <v>Luke McNally</v>
          </cell>
          <cell r="E385" t="e">
            <v>#DIV/0!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 t="str">
            <v>DEF</v>
          </cell>
          <cell r="M385" t="str">
            <v>BUR</v>
          </cell>
        </row>
        <row r="386">
          <cell r="A386" t="str">
            <v>Arijanet Muric</v>
          </cell>
          <cell r="E386" t="e">
            <v>#DIV/0!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 t="str">
            <v>GK</v>
          </cell>
          <cell r="M386" t="str">
            <v>BUR</v>
          </cell>
        </row>
        <row r="387">
          <cell r="A387" t="str">
            <v>Dara O'Shea</v>
          </cell>
          <cell r="E387" t="e">
            <v>#DIV/0!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 t="str">
            <v>DEF</v>
          </cell>
          <cell r="M387" t="str">
            <v>BUR</v>
          </cell>
        </row>
        <row r="388">
          <cell r="A388" t="str">
            <v>Michael Obafemi</v>
          </cell>
          <cell r="E388" t="e">
            <v>#DIV/0!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 t="str">
            <v>FWD</v>
          </cell>
          <cell r="M388" t="str">
            <v>BUR</v>
          </cell>
        </row>
        <row r="389">
          <cell r="A389" t="str">
            <v>Bailey Peacock-Farrell</v>
          </cell>
          <cell r="E389" t="e">
            <v>#DIV/0!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 t="str">
            <v>GK</v>
          </cell>
          <cell r="M389" t="str">
            <v>BUR</v>
          </cell>
        </row>
        <row r="390">
          <cell r="A390" t="str">
            <v>Connor Roberts</v>
          </cell>
          <cell r="E390" t="e">
            <v>#DIV/0!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 t="str">
            <v>DEF</v>
          </cell>
          <cell r="M390" t="str">
            <v>BUR</v>
          </cell>
        </row>
        <row r="391">
          <cell r="A391" t="str">
            <v>Jay Rodriguez</v>
          </cell>
          <cell r="E391" t="e">
            <v>#DIV/0!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 t="str">
            <v>FWD</v>
          </cell>
          <cell r="M391" t="str">
            <v>BUR</v>
          </cell>
        </row>
        <row r="392">
          <cell r="A392" t="str">
            <v>Charlie Taylor</v>
          </cell>
          <cell r="E392" t="e">
            <v>#DIV/0!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 t="str">
            <v>DEF</v>
          </cell>
          <cell r="M392" t="str">
            <v>BUR</v>
          </cell>
        </row>
        <row r="393">
          <cell r="A393" t="str">
            <v>Bobby Thomas</v>
          </cell>
          <cell r="E393" t="e">
            <v>#DIV/0!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 t="str">
            <v>DEF</v>
          </cell>
          <cell r="M393" t="str">
            <v>BUR</v>
          </cell>
        </row>
        <row r="394">
          <cell r="A394" t="str">
            <v>Scott Twine</v>
          </cell>
          <cell r="E394" t="e">
            <v>#DIV/0!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 t="str">
            <v>MID</v>
          </cell>
          <cell r="M394" t="str">
            <v>BUR</v>
          </cell>
        </row>
        <row r="395">
          <cell r="A395" t="str">
            <v>Lawrence Vigouroux</v>
          </cell>
          <cell r="E395" t="e">
            <v>#DIV/0!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 t="str">
            <v>GK</v>
          </cell>
          <cell r="M395" t="str">
            <v>BUR</v>
          </cell>
        </row>
        <row r="396">
          <cell r="A396" t="str">
            <v>Victor da Silva</v>
          </cell>
          <cell r="E396" t="e">
            <v>#DIV/0!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 t="str">
            <v>DEF</v>
          </cell>
          <cell r="M396" t="str">
            <v>BUR</v>
          </cell>
        </row>
        <row r="397">
          <cell r="A397" t="str">
            <v>Anass Zaroury</v>
          </cell>
          <cell r="E397" t="e">
            <v>#DIV/0!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 t="str">
            <v>MID</v>
          </cell>
          <cell r="M397" t="str">
            <v>BUR</v>
          </cell>
        </row>
        <row r="398">
          <cell r="A398" t="str">
            <v>Zeki Amdouni</v>
          </cell>
          <cell r="E398" t="e">
            <v>#DIV/0!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 t="str">
            <v>FWD</v>
          </cell>
          <cell r="M398" t="str">
            <v>BUR</v>
          </cell>
        </row>
        <row r="399">
          <cell r="A399" t="str">
            <v>James Trafford</v>
          </cell>
          <cell r="E399" t="e">
            <v>#DIV/0!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 t="str">
            <v>GK</v>
          </cell>
          <cell r="M399" t="str">
            <v>BUR</v>
          </cell>
        </row>
        <row r="400">
          <cell r="A400" t="str">
            <v>Luca Koleosho</v>
          </cell>
          <cell r="E400" t="e">
            <v>#DIV/0!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 t="str">
            <v>MID</v>
          </cell>
          <cell r="M400" t="str">
            <v>BUR</v>
          </cell>
        </row>
        <row r="401">
          <cell r="A401" t="str">
            <v>Jacob Bruun Larsen</v>
          </cell>
          <cell r="E401" t="e">
            <v>#DIV/0!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 t="str">
            <v>MID</v>
          </cell>
          <cell r="M401" t="str">
            <v>BUR</v>
          </cell>
        </row>
        <row r="402">
          <cell r="A402" t="str">
            <v>Marvelous Nakamba</v>
          </cell>
          <cell r="E402" t="e">
            <v>#DIV/0!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 t="str">
            <v>MID</v>
          </cell>
          <cell r="M402" t="str">
            <v>LUT</v>
          </cell>
        </row>
        <row r="403">
          <cell r="A403" t="str">
            <v>Elijah Adebayo</v>
          </cell>
          <cell r="E403" t="e">
            <v>#DIV/0!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 t="str">
            <v>FWD</v>
          </cell>
          <cell r="M403" t="str">
            <v>LUT</v>
          </cell>
        </row>
        <row r="404">
          <cell r="A404" t="str">
            <v>Mads Juel Andersen</v>
          </cell>
          <cell r="E404" t="e">
            <v>#DIV/0!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 t="str">
            <v>DEF</v>
          </cell>
          <cell r="M404" t="str">
            <v>LUT</v>
          </cell>
        </row>
        <row r="405">
          <cell r="A405" t="str">
            <v>Amari'i Bell</v>
          </cell>
          <cell r="E405" t="e">
            <v>#DIV/0!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 t="str">
            <v>DEF</v>
          </cell>
          <cell r="M405" t="str">
            <v>LUT</v>
          </cell>
        </row>
        <row r="406">
          <cell r="A406" t="str">
            <v>Luke Berry</v>
          </cell>
          <cell r="E406" t="e">
            <v>#DIV/0!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 t="str">
            <v>MID</v>
          </cell>
          <cell r="M406" t="str">
            <v>LUT</v>
          </cell>
        </row>
        <row r="407">
          <cell r="A407" t="str">
            <v>Reece Burke</v>
          </cell>
          <cell r="E407" t="e">
            <v>#DIV/0!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 t="str">
            <v>DEF</v>
          </cell>
          <cell r="M407" t="str">
            <v>LUT</v>
          </cell>
        </row>
        <row r="408">
          <cell r="A408" t="str">
            <v>Allan Campbell</v>
          </cell>
          <cell r="E408" t="e">
            <v>#DIV/0!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 t="str">
            <v>MID</v>
          </cell>
          <cell r="M408" t="str">
            <v>LUT</v>
          </cell>
        </row>
        <row r="409">
          <cell r="A409" t="str">
            <v>Jordan Clark</v>
          </cell>
          <cell r="E409" t="e">
            <v>#DIV/0!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 t="str">
            <v>MID</v>
          </cell>
          <cell r="M409" t="str">
            <v>LUT</v>
          </cell>
        </row>
        <row r="410">
          <cell r="A410" t="str">
            <v>Alfie Doughty</v>
          </cell>
          <cell r="E410" t="e">
            <v>#DIV/0!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 t="str">
            <v>DEF</v>
          </cell>
          <cell r="M410" t="str">
            <v>LUT</v>
          </cell>
        </row>
        <row r="411">
          <cell r="A411" t="str">
            <v>Luke Freeman</v>
          </cell>
          <cell r="E411" t="e">
            <v>#DIV/0!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 t="str">
            <v>MID</v>
          </cell>
          <cell r="M411" t="str">
            <v>LUT</v>
          </cell>
        </row>
        <row r="412">
          <cell r="A412" t="str">
            <v>Matt Macey</v>
          </cell>
          <cell r="E412" t="e">
            <v>#DIV/0!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 t="str">
            <v>GK</v>
          </cell>
          <cell r="M412" t="str">
            <v>LUT</v>
          </cell>
        </row>
        <row r="413">
          <cell r="A413" t="str">
            <v>John McAtee</v>
          </cell>
          <cell r="E413" t="e">
            <v>#DIV/0!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 t="str">
            <v>FWD</v>
          </cell>
          <cell r="M413" t="str">
            <v>LUT</v>
          </cell>
        </row>
        <row r="414">
          <cell r="A414" t="str">
            <v>Carlos Mendes Gomes</v>
          </cell>
          <cell r="E414" t="e">
            <v>#DIV/0!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 t="str">
            <v>MID</v>
          </cell>
          <cell r="M414" t="str">
            <v>LUT</v>
          </cell>
        </row>
        <row r="415">
          <cell r="A415" t="str">
            <v>Carlton Morris</v>
          </cell>
          <cell r="E415" t="e">
            <v>#DIV/0!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 t="str">
            <v>FWD</v>
          </cell>
          <cell r="M415" t="str">
            <v>LUT</v>
          </cell>
        </row>
        <row r="416">
          <cell r="A416" t="str">
            <v>Admiral Muskwe</v>
          </cell>
          <cell r="E416" t="e">
            <v>#DIV/0!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 t="str">
            <v>FWD</v>
          </cell>
          <cell r="M416" t="str">
            <v>LUT</v>
          </cell>
        </row>
        <row r="417">
          <cell r="A417" t="str">
            <v>Chiedozie Ogbene</v>
          </cell>
          <cell r="E417" t="e">
            <v>#DIV/0!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 t="str">
            <v>FWD</v>
          </cell>
          <cell r="M417" t="str">
            <v>LUT</v>
          </cell>
        </row>
        <row r="418">
          <cell r="A418" t="str">
            <v>Fred Onyedinma</v>
          </cell>
          <cell r="E418" t="e">
            <v>#DIV/0!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 t="str">
            <v>MID</v>
          </cell>
          <cell r="M418" t="str">
            <v>LUT</v>
          </cell>
        </row>
        <row r="419">
          <cell r="A419" t="str">
            <v>Gabriel Osho</v>
          </cell>
          <cell r="E419" t="e">
            <v>#DIV/0!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 t="str">
            <v>DEF</v>
          </cell>
          <cell r="M419" t="str">
            <v>LUT</v>
          </cell>
        </row>
        <row r="420">
          <cell r="A420" t="str">
            <v>Aribim Pepple</v>
          </cell>
          <cell r="E420" t="e">
            <v>#DIV/0!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 t="str">
            <v>FWD</v>
          </cell>
          <cell r="M420" t="str">
            <v>LUT</v>
          </cell>
        </row>
        <row r="421">
          <cell r="A421" t="str">
            <v>Dion Pereira</v>
          </cell>
          <cell r="E421" t="e">
            <v>#DIV/0!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 t="str">
            <v>MID</v>
          </cell>
          <cell r="M421" t="str">
            <v>LUT</v>
          </cell>
        </row>
        <row r="422">
          <cell r="A422" t="str">
            <v>Dan Potts</v>
          </cell>
          <cell r="E422" t="e">
            <v>#DIV/0!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 t="str">
            <v>DEF</v>
          </cell>
          <cell r="M422" t="str">
            <v>LUT</v>
          </cell>
        </row>
        <row r="423">
          <cell r="A423" t="str">
            <v>Glen Rea</v>
          </cell>
          <cell r="E423" t="e">
            <v>#DIV/0!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 t="str">
            <v>MID</v>
          </cell>
          <cell r="M423" t="str">
            <v>LUT</v>
          </cell>
        </row>
        <row r="424">
          <cell r="A424" t="str">
            <v>James Shea</v>
          </cell>
          <cell r="E424" t="e">
            <v>#DIV/0!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 t="str">
            <v>GK</v>
          </cell>
          <cell r="M424" t="str">
            <v>LUT</v>
          </cell>
        </row>
        <row r="425">
          <cell r="A425" t="str">
            <v>Joe Taylor</v>
          </cell>
          <cell r="E425" t="e">
            <v>#DIV/0!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 t="str">
            <v>FWD</v>
          </cell>
          <cell r="M425" t="str">
            <v>LUT</v>
          </cell>
        </row>
        <row r="426">
          <cell r="A426" t="str">
            <v>Elliot Thorpe</v>
          </cell>
          <cell r="E426" t="e">
            <v>#DIV/0!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 t="str">
            <v>MID</v>
          </cell>
          <cell r="M426" t="str">
            <v>LUT</v>
          </cell>
        </row>
        <row r="427">
          <cell r="A427" t="str">
            <v>Jack Walton</v>
          </cell>
          <cell r="E427" t="e">
            <v>#DIV/0!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 t="str">
            <v>GK</v>
          </cell>
          <cell r="M427" t="str">
            <v>LUT</v>
          </cell>
        </row>
        <row r="428">
          <cell r="A428" t="str">
            <v>Louie Watson</v>
          </cell>
          <cell r="E428" t="e">
            <v>#DIV/0!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 t="str">
            <v>MID</v>
          </cell>
          <cell r="M428" t="str">
            <v>LUT</v>
          </cell>
        </row>
        <row r="429">
          <cell r="A429" t="str">
            <v>Cauley Woodrow</v>
          </cell>
          <cell r="E429" t="e">
            <v>#DIV/0!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 t="str">
            <v>FWD</v>
          </cell>
          <cell r="M429" t="str">
            <v>LUT</v>
          </cell>
        </row>
        <row r="430">
          <cell r="A430" t="str">
            <v>Tom Lockyer</v>
          </cell>
          <cell r="E430" t="e">
            <v>#DIV/0!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 t="str">
            <v>DEF</v>
          </cell>
          <cell r="M430" t="str">
            <v>LUT</v>
          </cell>
        </row>
        <row r="431">
          <cell r="A431" t="str">
            <v>Pelly Ruddock Mpanzu</v>
          </cell>
          <cell r="E431" t="e">
            <v>#DIV/0!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 t="str">
            <v>MID</v>
          </cell>
          <cell r="M431" t="str">
            <v>LUT</v>
          </cell>
        </row>
        <row r="432">
          <cell r="A432" t="str">
            <v>Tahith Chong</v>
          </cell>
          <cell r="E432" t="e">
            <v>#DIV/0!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 t="str">
            <v>MID</v>
          </cell>
          <cell r="M432" t="str">
            <v>LUT</v>
          </cell>
        </row>
        <row r="433">
          <cell r="A433" t="str">
            <v>Issa Kaboré</v>
          </cell>
          <cell r="E433" t="e">
            <v>#DIV/0!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 t="str">
            <v>DEF</v>
          </cell>
          <cell r="M433" t="str">
            <v>LUT</v>
          </cell>
        </row>
        <row r="434">
          <cell r="A434" t="str">
            <v>Anel Ahmedhodžić</v>
          </cell>
          <cell r="E434" t="e">
            <v>#DIV/0!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 t="str">
            <v>DEF</v>
          </cell>
          <cell r="M434" t="str">
            <v>SHU</v>
          </cell>
        </row>
        <row r="435">
          <cell r="A435" t="str">
            <v>Jordan Amissah</v>
          </cell>
          <cell r="E435" t="e">
            <v>#DIV/0!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 t="str">
            <v>GK</v>
          </cell>
          <cell r="M435" t="str">
            <v>SHU</v>
          </cell>
        </row>
        <row r="436">
          <cell r="A436" t="str">
            <v>Chris Basham</v>
          </cell>
          <cell r="E436" t="e">
            <v>#DIV/0!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 t="str">
            <v>DEF</v>
          </cell>
          <cell r="M436" t="str">
            <v>SHU</v>
          </cell>
        </row>
        <row r="437">
          <cell r="A437" t="str">
            <v>Sander Berge</v>
          </cell>
          <cell r="E437" t="e">
            <v>#DIV/0!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 t="str">
            <v>MID</v>
          </cell>
          <cell r="M437" t="str">
            <v>SHU</v>
          </cell>
        </row>
        <row r="438">
          <cell r="A438" t="str">
            <v>Jayden Bogle</v>
          </cell>
          <cell r="E438" t="e">
            <v>#DIV/0!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 t="str">
            <v>DEF</v>
          </cell>
          <cell r="M438" t="str">
            <v>SHU</v>
          </cell>
        </row>
        <row r="439">
          <cell r="A439" t="str">
            <v>Rhian Brewster</v>
          </cell>
          <cell r="E439" t="e">
            <v>#DIV/0!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 t="str">
            <v>FWD</v>
          </cell>
          <cell r="M439" t="str">
            <v>SHU</v>
          </cell>
        </row>
        <row r="440">
          <cell r="A440" t="str">
            <v>Ismaila Coulibaly</v>
          </cell>
          <cell r="E440" t="e">
            <v>#DIV/0!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 t="str">
            <v>MID</v>
          </cell>
          <cell r="M440" t="str">
            <v>SHU</v>
          </cell>
        </row>
        <row r="441">
          <cell r="A441" t="str">
            <v>Adam Davies</v>
          </cell>
          <cell r="E441" t="e">
            <v>#DIV/0!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 t="str">
            <v>GK</v>
          </cell>
          <cell r="M441" t="str">
            <v>SHU</v>
          </cell>
        </row>
        <row r="442">
          <cell r="A442" t="str">
            <v>John Egan</v>
          </cell>
          <cell r="E442" t="e">
            <v>#DIV/0!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 t="str">
            <v>DEF</v>
          </cell>
          <cell r="M442" t="str">
            <v>SHU</v>
          </cell>
        </row>
        <row r="443">
          <cell r="A443" t="str">
            <v>John Fleck</v>
          </cell>
          <cell r="E443" t="e">
            <v>#DIV/0!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 t="str">
            <v>MID</v>
          </cell>
          <cell r="M443" t="str">
            <v>SHU</v>
          </cell>
        </row>
        <row r="444">
          <cell r="A444" t="str">
            <v>Wes Foderingham</v>
          </cell>
          <cell r="E444" t="e">
            <v>#DIV/0!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 t="str">
            <v>GK</v>
          </cell>
          <cell r="M444" t="str">
            <v>SHU</v>
          </cell>
        </row>
        <row r="445">
          <cell r="A445" t="str">
            <v>Daniel Jebbison</v>
          </cell>
          <cell r="E445" t="e">
            <v>#DIV/0!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 t="str">
            <v>FWD</v>
          </cell>
          <cell r="M445" t="str">
            <v>SHU</v>
          </cell>
        </row>
        <row r="446">
          <cell r="A446" t="str">
            <v>Max Lowe</v>
          </cell>
          <cell r="E446" t="e">
            <v>#DIV/0!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 t="str">
            <v>DEF</v>
          </cell>
          <cell r="M446" t="str">
            <v>SHU</v>
          </cell>
        </row>
        <row r="447">
          <cell r="A447" t="str">
            <v>Oliver McBurnie</v>
          </cell>
          <cell r="E447" t="e">
            <v>#DIV/0!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 t="str">
            <v>FWD</v>
          </cell>
          <cell r="M447" t="str">
            <v>SHU</v>
          </cell>
        </row>
        <row r="448">
          <cell r="A448" t="str">
            <v>Iliman Ndiaye</v>
          </cell>
          <cell r="E448" t="e">
            <v>#DIV/0!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 t="str">
            <v>FWD</v>
          </cell>
          <cell r="M448" t="str">
            <v>SHU</v>
          </cell>
        </row>
        <row r="449">
          <cell r="A449" t="str">
            <v>Rhys Norrington-Davies</v>
          </cell>
          <cell r="E449" t="e">
            <v>#DIV/0!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 t="str">
            <v>DEF</v>
          </cell>
          <cell r="M449" t="str">
            <v>SHU</v>
          </cell>
        </row>
        <row r="450">
          <cell r="A450" t="str">
            <v>Oliver Norwood</v>
          </cell>
          <cell r="E450" t="e">
            <v>#DIV/0!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 t="str">
            <v>MID</v>
          </cell>
          <cell r="M450" t="str">
            <v>SHU</v>
          </cell>
        </row>
        <row r="451">
          <cell r="A451" t="str">
            <v>Ben Osborn</v>
          </cell>
          <cell r="E451" t="e">
            <v>#DIV/0!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 t="str">
            <v>MID</v>
          </cell>
          <cell r="M451" t="str">
            <v>SHU</v>
          </cell>
        </row>
        <row r="452">
          <cell r="A452" t="str">
            <v>William Osula</v>
          </cell>
          <cell r="E452" t="e">
            <v>#DIV/0!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 t="str">
            <v>FWD</v>
          </cell>
          <cell r="M452" t="str">
            <v>SHU</v>
          </cell>
        </row>
        <row r="453">
          <cell r="A453" t="str">
            <v>Jack Robinson</v>
          </cell>
          <cell r="E453" t="e">
            <v>#DIV/0!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 t="str">
            <v>DEF</v>
          </cell>
          <cell r="M453" t="str">
            <v>SHU</v>
          </cell>
        </row>
        <row r="454">
          <cell r="A454" t="str">
            <v>Anis Slimane</v>
          </cell>
          <cell r="E454" t="e">
            <v>#DIV/0!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 t="str">
            <v>MID</v>
          </cell>
          <cell r="M454" t="str">
            <v>SHU</v>
          </cell>
        </row>
        <row r="455">
          <cell r="A455" t="str">
            <v>Yasser Larouci</v>
          </cell>
          <cell r="E455" t="e">
            <v>#DIV/0!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 t="str">
            <v>DEF</v>
          </cell>
          <cell r="M455" t="str">
            <v>SHU</v>
          </cell>
        </row>
        <row r="456">
          <cell r="A456" t="str">
            <v>Bénie Traoré</v>
          </cell>
          <cell r="E456" t="e">
            <v>#DIV/0!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 t="str">
            <v>FWD</v>
          </cell>
          <cell r="M456" t="str">
            <v>SHU</v>
          </cell>
        </row>
        <row r="457">
          <cell r="E457" t="e">
            <v>#DIV/0!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E458" t="e">
            <v>#DIV/0!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E459" t="e">
            <v>#DIV/0!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E460" t="e">
            <v>#DIV/0!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E461" t="e">
            <v>#DIV/0!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E462" t="e">
            <v>#DIV/0!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E463" t="e">
            <v>#DIV/0!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E464" t="e">
            <v>#DIV/0!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E465" t="e">
            <v>#DIV/0!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E466" t="e">
            <v>#DIV/0!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E467" t="e">
            <v>#DIV/0!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E468" t="e">
            <v>#DIV/0!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E469" t="e">
            <v>#DIV/0!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E470" t="e">
            <v>#DIV/0!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E471" t="e">
            <v>#DIV/0!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E472" t="e">
            <v>#DIV/0!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E473" t="e">
            <v>#DIV/0!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E474" t="e">
            <v>#DIV/0!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E475" t="e">
            <v>#DIV/0!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E476" t="e">
            <v>#DIV/0!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E477" t="e">
            <v>#DIV/0!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E478" t="e">
            <v>#DIV/0!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E479" t="e">
            <v>#DIV/0!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E480" t="e">
            <v>#DIV/0!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E481" t="e">
            <v>#DIV/0!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E482" t="e">
            <v>#DIV/0!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E483" t="e">
            <v>#DIV/0!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E484" t="e">
            <v>#DIV/0!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E485" t="e">
            <v>#DIV/0!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E486" t="e">
            <v>#DIV/0!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E487" t="e">
            <v>#DIV/0!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E488" t="e">
            <v>#DIV/0!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E489" t="e">
            <v>#DIV/0!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E490" t="e">
            <v>#DIV/0!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E491" t="e">
            <v>#DIV/0!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E492" t="e">
            <v>#DIV/0!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E493" t="e">
            <v>#DIV/0!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E494" t="e">
            <v>#DIV/0!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E495" t="e">
            <v>#DIV/0!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E496" t="e">
            <v>#DIV/0!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E497" t="e">
            <v>#DIV/0!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E498" t="e">
            <v>#DIV/0!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E499" t="e">
            <v>#DIV/0!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E500" t="e">
            <v>#DIV/0!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E501" t="e">
            <v>#DIV/0!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E502" t="e">
            <v>#DIV/0!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E503" t="e">
            <v>#DIV/0!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E504" t="e">
            <v>#DIV/0!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E505" t="e">
            <v>#DIV/0!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E506" t="e">
            <v>#DIV/0!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E507" t="e">
            <v>#DIV/0!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E508" t="e">
            <v>#DIV/0!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E509" t="e">
            <v>#DIV/0!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E510" t="e">
            <v>#DIV/0!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E511" t="e">
            <v>#DIV/0!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E512" t="e">
            <v>#DIV/0!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E513" t="e">
            <v>#DIV/0!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E514" t="e">
            <v>#DIV/0!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E515" t="e">
            <v>#DIV/0!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E516" t="e">
            <v>#DIV/0!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E517" t="e">
            <v>#DIV/0!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E518" t="e">
            <v>#DIV/0!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E519" t="e">
            <v>#DIV/0!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E520" t="e">
            <v>#DIV/0!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E521" t="e">
            <v>#DIV/0!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E522" t="e">
            <v>#DIV/0!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E523" t="e">
            <v>#DIV/0!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E524" t="e">
            <v>#DIV/0!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E525" t="e">
            <v>#DIV/0!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E526" t="e">
            <v>#DIV/0!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E527" t="e">
            <v>#DIV/0!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E528" t="e">
            <v>#DIV/0!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E529" t="e">
            <v>#DIV/0!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E530" t="e">
            <v>#DIV/0!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E531" t="e">
            <v>#DIV/0!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E532" t="e">
            <v>#DIV/0!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E533" t="e">
            <v>#DIV/0!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E534" t="e">
            <v>#DIV/0!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E535" t="e">
            <v>#DIV/0!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E536" t="e">
            <v>#DIV/0!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E537" t="e">
            <v>#DIV/0!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E538" t="e">
            <v>#DIV/0!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E539" t="e">
            <v>#DIV/0!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E540" t="e">
            <v>#DIV/0!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E541" t="e">
            <v>#DIV/0!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E542" t="e">
            <v>#DIV/0!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E543" t="e">
            <v>#DIV/0!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E544" t="e">
            <v>#DIV/0!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E545" t="e">
            <v>#DIV/0!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E546" t="e">
            <v>#DIV/0!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E547" t="e">
            <v>#DIV/0!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E548" t="e">
            <v>#DIV/0!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E549" t="e">
            <v>#DIV/0!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E550" t="e">
            <v>#DIV/0!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E551" t="e">
            <v>#DIV/0!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0 0</v>
          </cell>
          <cell r="B552">
            <v>0</v>
          </cell>
          <cell r="E552" t="e">
            <v>#DIV/0!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 t="str">
            <v/>
          </cell>
          <cell r="M552" t="str">
            <v/>
          </cell>
        </row>
        <row r="553">
          <cell r="A553" t="str">
            <v>0 0</v>
          </cell>
          <cell r="B553">
            <v>0</v>
          </cell>
          <cell r="E553" t="e">
            <v>#DIV/0!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 t="str">
            <v/>
          </cell>
          <cell r="M553" t="str">
            <v/>
          </cell>
        </row>
        <row r="554">
          <cell r="A554" t="str">
            <v>0 0</v>
          </cell>
          <cell r="B554">
            <v>0</v>
          </cell>
          <cell r="E554" t="e">
            <v>#DIV/0!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 t="str">
            <v/>
          </cell>
          <cell r="M554" t="str">
            <v/>
          </cell>
        </row>
        <row r="555">
          <cell r="A555" t="str">
            <v>0 0</v>
          </cell>
          <cell r="B555">
            <v>0</v>
          </cell>
          <cell r="E555" t="e">
            <v>#DIV/0!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 t="str">
            <v/>
          </cell>
          <cell r="M555" t="str">
            <v/>
          </cell>
        </row>
        <row r="556">
          <cell r="A556" t="str">
            <v>0 0</v>
          </cell>
          <cell r="B556">
            <v>0</v>
          </cell>
          <cell r="E556" t="e">
            <v>#DIV/0!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 t="str">
            <v/>
          </cell>
          <cell r="M556" t="str">
            <v/>
          </cell>
        </row>
        <row r="557">
          <cell r="A557" t="str">
            <v>0 0</v>
          </cell>
          <cell r="B557">
            <v>0</v>
          </cell>
          <cell r="E557" t="e">
            <v>#DIV/0!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 t="str">
            <v/>
          </cell>
          <cell r="M557" t="str">
            <v/>
          </cell>
        </row>
        <row r="558">
          <cell r="A558" t="str">
            <v>0 0</v>
          </cell>
          <cell r="B558">
            <v>0</v>
          </cell>
          <cell r="E558" t="e">
            <v>#DIV/0!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 t="str">
            <v/>
          </cell>
          <cell r="M558" t="str">
            <v/>
          </cell>
        </row>
        <row r="559">
          <cell r="A559" t="str">
            <v>0 0</v>
          </cell>
          <cell r="B559">
            <v>0</v>
          </cell>
          <cell r="E559" t="e">
            <v>#DIV/0!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 t="str">
            <v/>
          </cell>
          <cell r="M559" t="str">
            <v/>
          </cell>
        </row>
        <row r="560">
          <cell r="A560" t="str">
            <v>0 0</v>
          </cell>
          <cell r="B560">
            <v>0</v>
          </cell>
          <cell r="E560" t="e">
            <v>#DIV/0!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 t="str">
            <v/>
          </cell>
          <cell r="M560" t="str">
            <v/>
          </cell>
        </row>
        <row r="561">
          <cell r="A561" t="str">
            <v>0 0</v>
          </cell>
          <cell r="B561">
            <v>0</v>
          </cell>
          <cell r="E561" t="e">
            <v>#DIV/0!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 t="str">
            <v/>
          </cell>
          <cell r="M561" t="str">
            <v/>
          </cell>
        </row>
        <row r="562">
          <cell r="A562" t="str">
            <v>0 0</v>
          </cell>
          <cell r="B562">
            <v>0</v>
          </cell>
          <cell r="E562" t="e">
            <v>#DIV/0!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 t="str">
            <v/>
          </cell>
          <cell r="M562" t="str">
            <v/>
          </cell>
        </row>
        <row r="563">
          <cell r="A563" t="str">
            <v>0 0</v>
          </cell>
          <cell r="B563">
            <v>0</v>
          </cell>
          <cell r="E563" t="e">
            <v>#DIV/0!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 t="str">
            <v/>
          </cell>
          <cell r="M563" t="str">
            <v/>
          </cell>
        </row>
        <row r="564">
          <cell r="A564" t="str">
            <v>0 0</v>
          </cell>
          <cell r="B564">
            <v>0</v>
          </cell>
          <cell r="E564" t="e">
            <v>#DIV/0!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 t="str">
            <v/>
          </cell>
          <cell r="M564" t="str">
            <v/>
          </cell>
        </row>
        <row r="565">
          <cell r="A565" t="str">
            <v>0 0</v>
          </cell>
          <cell r="B565">
            <v>0</v>
          </cell>
          <cell r="E565" t="e">
            <v>#DIV/0!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 t="str">
            <v/>
          </cell>
          <cell r="M565" t="str">
            <v/>
          </cell>
        </row>
        <row r="566">
          <cell r="A566" t="str">
            <v>0 0</v>
          </cell>
          <cell r="B566">
            <v>0</v>
          </cell>
          <cell r="E566" t="e">
            <v>#DIV/0!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 t="str">
            <v/>
          </cell>
          <cell r="M566" t="str">
            <v/>
          </cell>
        </row>
        <row r="567">
          <cell r="A567" t="str">
            <v>0 0</v>
          </cell>
          <cell r="B567">
            <v>0</v>
          </cell>
          <cell r="E567" t="e">
            <v>#DIV/0!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 t="str">
            <v/>
          </cell>
          <cell r="M567" t="str">
            <v/>
          </cell>
        </row>
        <row r="568">
          <cell r="A568" t="str">
            <v>0 0</v>
          </cell>
          <cell r="B568">
            <v>0</v>
          </cell>
          <cell r="E568" t="e">
            <v>#DIV/0!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 t="str">
            <v/>
          </cell>
          <cell r="M568" t="str">
            <v/>
          </cell>
        </row>
        <row r="569">
          <cell r="A569" t="str">
            <v>0 0</v>
          </cell>
          <cell r="B569">
            <v>0</v>
          </cell>
          <cell r="E569" t="e">
            <v>#DIV/0!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 t="str">
            <v/>
          </cell>
          <cell r="M569" t="str">
            <v/>
          </cell>
        </row>
        <row r="570">
          <cell r="A570" t="str">
            <v>0 0</v>
          </cell>
          <cell r="B570">
            <v>0</v>
          </cell>
          <cell r="E570" t="e">
            <v>#DIV/0!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 t="str">
            <v/>
          </cell>
          <cell r="M570" t="str">
            <v/>
          </cell>
        </row>
        <row r="571">
          <cell r="A571" t="str">
            <v>0 0</v>
          </cell>
          <cell r="B571">
            <v>0</v>
          </cell>
          <cell r="E571" t="e">
            <v>#DIV/0!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 t="str">
            <v/>
          </cell>
          <cell r="M571" t="str">
            <v/>
          </cell>
        </row>
        <row r="572">
          <cell r="A572" t="str">
            <v>0 0</v>
          </cell>
          <cell r="B572">
            <v>0</v>
          </cell>
          <cell r="E572" t="e">
            <v>#DIV/0!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 t="str">
            <v/>
          </cell>
          <cell r="M572" t="str">
            <v/>
          </cell>
        </row>
        <row r="573">
          <cell r="A573" t="str">
            <v>0 0</v>
          </cell>
          <cell r="B573">
            <v>0</v>
          </cell>
          <cell r="E573" t="e">
            <v>#DIV/0!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 t="str">
            <v/>
          </cell>
          <cell r="M573" t="str">
            <v/>
          </cell>
        </row>
        <row r="574">
          <cell r="A574" t="str">
            <v>0 0</v>
          </cell>
          <cell r="B574">
            <v>0</v>
          </cell>
          <cell r="E574" t="e">
            <v>#DIV/0!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 t="str">
            <v/>
          </cell>
          <cell r="M574" t="str">
            <v/>
          </cell>
        </row>
        <row r="575">
          <cell r="A575" t="str">
            <v>0 0</v>
          </cell>
          <cell r="B575">
            <v>0</v>
          </cell>
          <cell r="E575" t="e">
            <v>#DIV/0!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 t="str">
            <v/>
          </cell>
          <cell r="M575" t="str">
            <v/>
          </cell>
        </row>
        <row r="576">
          <cell r="A576" t="str">
            <v>0 0</v>
          </cell>
          <cell r="B576">
            <v>0</v>
          </cell>
          <cell r="E576" t="e">
            <v>#DIV/0!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 t="str">
            <v/>
          </cell>
          <cell r="M576" t="str">
            <v/>
          </cell>
        </row>
        <row r="577">
          <cell r="A577" t="str">
            <v>0 0</v>
          </cell>
          <cell r="B577">
            <v>0</v>
          </cell>
          <cell r="E577" t="e">
            <v>#DIV/0!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 t="str">
            <v/>
          </cell>
          <cell r="M577" t="str">
            <v/>
          </cell>
        </row>
        <row r="578">
          <cell r="A578" t="str">
            <v>0 0</v>
          </cell>
          <cell r="B578">
            <v>0</v>
          </cell>
          <cell r="E578" t="e">
            <v>#DIV/0!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 t="str">
            <v/>
          </cell>
          <cell r="M578" t="str">
            <v/>
          </cell>
        </row>
        <row r="579">
          <cell r="A579" t="str">
            <v>0 0</v>
          </cell>
          <cell r="B579">
            <v>0</v>
          </cell>
          <cell r="E579" t="e">
            <v>#DIV/0!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 t="str">
            <v/>
          </cell>
          <cell r="M579" t="str">
            <v/>
          </cell>
        </row>
        <row r="580">
          <cell r="A580" t="str">
            <v>0 0</v>
          </cell>
          <cell r="B580">
            <v>0</v>
          </cell>
          <cell r="E580" t="e">
            <v>#DIV/0!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 t="str">
            <v/>
          </cell>
          <cell r="M580" t="str">
            <v/>
          </cell>
        </row>
        <row r="581">
          <cell r="A581" t="str">
            <v>0 0</v>
          </cell>
          <cell r="B581">
            <v>0</v>
          </cell>
          <cell r="E581" t="e">
            <v>#DIV/0!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 t="str">
            <v/>
          </cell>
          <cell r="M581" t="str">
            <v/>
          </cell>
        </row>
        <row r="582">
          <cell r="A582" t="str">
            <v>0 0</v>
          </cell>
          <cell r="B582">
            <v>0</v>
          </cell>
          <cell r="E582" t="e">
            <v>#DIV/0!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 t="str">
            <v/>
          </cell>
          <cell r="M582" t="str">
            <v/>
          </cell>
        </row>
        <row r="583">
          <cell r="A583" t="str">
            <v>0 0</v>
          </cell>
          <cell r="B583">
            <v>0</v>
          </cell>
          <cell r="E583" t="e">
            <v>#DIV/0!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 t="str">
            <v/>
          </cell>
          <cell r="M583" t="str">
            <v/>
          </cell>
        </row>
        <row r="584">
          <cell r="A584" t="str">
            <v>0 0</v>
          </cell>
          <cell r="B584">
            <v>0</v>
          </cell>
          <cell r="E584" t="e">
            <v>#DIV/0!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 t="str">
            <v/>
          </cell>
          <cell r="M584" t="str">
            <v/>
          </cell>
        </row>
        <row r="585">
          <cell r="A585" t="str">
            <v>0 0</v>
          </cell>
          <cell r="B585">
            <v>0</v>
          </cell>
          <cell r="E585" t="e">
            <v>#DIV/0!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 t="str">
            <v/>
          </cell>
          <cell r="M585" t="str">
            <v/>
          </cell>
        </row>
        <row r="586">
          <cell r="A586" t="str">
            <v>0 0</v>
          </cell>
          <cell r="B586">
            <v>0</v>
          </cell>
          <cell r="E586" t="e">
            <v>#DIV/0!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 t="str">
            <v/>
          </cell>
          <cell r="M586" t="str">
            <v/>
          </cell>
        </row>
        <row r="587">
          <cell r="A587" t="str">
            <v>0 0</v>
          </cell>
          <cell r="B587">
            <v>0</v>
          </cell>
          <cell r="E587" t="e">
            <v>#DIV/0!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 t="str">
            <v/>
          </cell>
          <cell r="M587" t="str">
            <v/>
          </cell>
        </row>
        <row r="588">
          <cell r="A588" t="str">
            <v>0 0</v>
          </cell>
          <cell r="B588">
            <v>0</v>
          </cell>
          <cell r="E588" t="e">
            <v>#DIV/0!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 t="str">
            <v/>
          </cell>
          <cell r="M588" t="str">
            <v/>
          </cell>
        </row>
        <row r="589">
          <cell r="A589" t="str">
            <v>0 0</v>
          </cell>
          <cell r="B589">
            <v>0</v>
          </cell>
          <cell r="E589" t="e">
            <v>#DIV/0!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 t="str">
            <v/>
          </cell>
          <cell r="M589" t="str">
            <v/>
          </cell>
        </row>
        <row r="590">
          <cell r="A590" t="str">
            <v>0 0</v>
          </cell>
          <cell r="B590">
            <v>0</v>
          </cell>
          <cell r="E590" t="e">
            <v>#DIV/0!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 t="str">
            <v/>
          </cell>
          <cell r="M590" t="str">
            <v/>
          </cell>
        </row>
        <row r="591">
          <cell r="A591" t="str">
            <v>0 0</v>
          </cell>
          <cell r="B591">
            <v>0</v>
          </cell>
          <cell r="E591" t="e">
            <v>#DIV/0!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 t="str">
            <v/>
          </cell>
          <cell r="M591" t="str">
            <v/>
          </cell>
        </row>
        <row r="592">
          <cell r="A592" t="str">
            <v>0 0</v>
          </cell>
          <cell r="B592">
            <v>0</v>
          </cell>
          <cell r="E592" t="e">
            <v>#DIV/0!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 t="str">
            <v/>
          </cell>
          <cell r="M592" t="str">
            <v/>
          </cell>
        </row>
        <row r="593">
          <cell r="A593" t="str">
            <v>0 0</v>
          </cell>
          <cell r="B593">
            <v>0</v>
          </cell>
          <cell r="E593" t="e">
            <v>#DIV/0!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 t="str">
            <v/>
          </cell>
          <cell r="M593" t="str">
            <v/>
          </cell>
        </row>
        <row r="594">
          <cell r="A594" t="str">
            <v>0 0</v>
          </cell>
          <cell r="B594">
            <v>0</v>
          </cell>
          <cell r="E594" t="e">
            <v>#DIV/0!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 t="str">
            <v/>
          </cell>
          <cell r="M594" t="str">
            <v/>
          </cell>
        </row>
        <row r="595">
          <cell r="B595">
            <v>0</v>
          </cell>
          <cell r="E595" t="e">
            <v>#DIV/0!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B596">
            <v>0</v>
          </cell>
          <cell r="E596" t="e">
            <v>#DIV/0!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B597">
            <v>0</v>
          </cell>
          <cell r="E597" t="e">
            <v>#DIV/0!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B598">
            <v>0</v>
          </cell>
          <cell r="E598" t="e">
            <v>#DIV/0!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B599">
            <v>0</v>
          </cell>
          <cell r="E599" t="e">
            <v>#DIV/0!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B600">
            <v>0</v>
          </cell>
          <cell r="E600" t="e">
            <v>#DIV/0!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B601">
            <v>0</v>
          </cell>
          <cell r="E601" t="e">
            <v>#DIV/0!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B602">
            <v>0</v>
          </cell>
          <cell r="E602" t="e">
            <v>#DIV/0!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B603">
            <v>0</v>
          </cell>
          <cell r="E603" t="e">
            <v>#DIV/0!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B604">
            <v>0</v>
          </cell>
          <cell r="E604" t="e">
            <v>#DIV/0!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B605">
            <v>0</v>
          </cell>
          <cell r="E605" t="e">
            <v>#DIV/0!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B606">
            <v>0</v>
          </cell>
          <cell r="E606" t="e">
            <v>#DIV/0!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B607">
            <v>0</v>
          </cell>
          <cell r="E607" t="e">
            <v>#DIV/0!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B608">
            <v>0</v>
          </cell>
          <cell r="E608" t="e">
            <v>#DIV/0!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B609">
            <v>0</v>
          </cell>
          <cell r="E609" t="e">
            <v>#DIV/0!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B610">
            <v>0</v>
          </cell>
          <cell r="E610" t="e">
            <v>#DIV/0!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B611">
            <v>0</v>
          </cell>
          <cell r="E611" t="e">
            <v>#DIV/0!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B612">
            <v>0</v>
          </cell>
          <cell r="E612" t="e">
            <v>#DIV/0!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B613">
            <v>0</v>
          </cell>
          <cell r="E613" t="e">
            <v>#DIV/0!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B614">
            <v>0</v>
          </cell>
          <cell r="E614" t="e">
            <v>#DIV/0!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B615">
            <v>0</v>
          </cell>
          <cell r="E615" t="e">
            <v>#DIV/0!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B616">
            <v>0</v>
          </cell>
          <cell r="E616" t="e">
            <v>#DIV/0!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B617">
            <v>0</v>
          </cell>
          <cell r="E617" t="e">
            <v>#DIV/0!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B618">
            <v>0</v>
          </cell>
          <cell r="E618" t="e">
            <v>#DIV/0!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B619">
            <v>0</v>
          </cell>
          <cell r="E619" t="e">
            <v>#DIV/0!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B620">
            <v>0</v>
          </cell>
          <cell r="E620" t="e">
            <v>#DIV/0!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B621">
            <v>0</v>
          </cell>
          <cell r="E621" t="e">
            <v>#DIV/0!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B622">
            <v>0</v>
          </cell>
          <cell r="E622" t="e">
            <v>#DIV/0!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B623">
            <v>0</v>
          </cell>
          <cell r="E623" t="e">
            <v>#DIV/0!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B624">
            <v>0</v>
          </cell>
          <cell r="E624" t="e">
            <v>#DIV/0!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B625">
            <v>0</v>
          </cell>
          <cell r="E625" t="e">
            <v>#DIV/0!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B626">
            <v>0</v>
          </cell>
          <cell r="E626" t="e">
            <v>#DIV/0!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B627">
            <v>0</v>
          </cell>
          <cell r="E627" t="e">
            <v>#DIV/0!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B628">
            <v>0</v>
          </cell>
          <cell r="E628" t="e">
            <v>#DIV/0!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B629">
            <v>0</v>
          </cell>
          <cell r="E629" t="e">
            <v>#DIV/0!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B630">
            <v>0</v>
          </cell>
          <cell r="E630" t="e">
            <v>#DIV/0!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B631">
            <v>0</v>
          </cell>
          <cell r="E631" t="e">
            <v>#DIV/0!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B632">
            <v>0</v>
          </cell>
          <cell r="E632" t="e">
            <v>#DIV/0!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B633">
            <v>0</v>
          </cell>
          <cell r="E633" t="e">
            <v>#DIV/0!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B634">
            <v>0</v>
          </cell>
          <cell r="E634" t="e">
            <v>#DIV/0!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B635">
            <v>0</v>
          </cell>
          <cell r="E635" t="e">
            <v>#DIV/0!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B636">
            <v>0</v>
          </cell>
          <cell r="E636" t="e">
            <v>#DIV/0!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B637">
            <v>0</v>
          </cell>
          <cell r="E637" t="e">
            <v>#DIV/0!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B638">
            <v>0</v>
          </cell>
          <cell r="E638" t="e">
            <v>#DIV/0!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B639">
            <v>0</v>
          </cell>
          <cell r="E639" t="e">
            <v>#DIV/0!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B640">
            <v>0</v>
          </cell>
          <cell r="E640" t="e">
            <v>#DIV/0!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B641">
            <v>0</v>
          </cell>
          <cell r="E641" t="e">
            <v>#DIV/0!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B642">
            <v>0</v>
          </cell>
          <cell r="E642" t="e">
            <v>#DIV/0!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B643">
            <v>0</v>
          </cell>
          <cell r="E643" t="e">
            <v>#DIV/0!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B644">
            <v>0</v>
          </cell>
          <cell r="E644" t="e">
            <v>#DIV/0!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B645">
            <v>0</v>
          </cell>
          <cell r="E645" t="e">
            <v>#DIV/0!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B646">
            <v>0</v>
          </cell>
          <cell r="E646" t="e">
            <v>#DIV/0!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B647">
            <v>0</v>
          </cell>
          <cell r="E647" t="e">
            <v>#DIV/0!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B648">
            <v>0</v>
          </cell>
          <cell r="E648" t="e">
            <v>#DIV/0!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B649">
            <v>0</v>
          </cell>
          <cell r="E649" t="e">
            <v>#DIV/0!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B650">
            <v>0</v>
          </cell>
          <cell r="E650" t="e">
            <v>#DIV/0!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B651">
            <v>0</v>
          </cell>
          <cell r="E651" t="e">
            <v>#DIV/0!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B652">
            <v>0</v>
          </cell>
          <cell r="E652" t="e">
            <v>#DIV/0!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B653">
            <v>0</v>
          </cell>
          <cell r="E653" t="e">
            <v>#DIV/0!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B654">
            <v>0</v>
          </cell>
          <cell r="E654" t="e">
            <v>#DIV/0!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B655">
            <v>0</v>
          </cell>
          <cell r="E655" t="e">
            <v>#DIV/0!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B656">
            <v>0</v>
          </cell>
          <cell r="E656" t="e">
            <v>#DIV/0!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B657">
            <v>0</v>
          </cell>
          <cell r="E657" t="e">
            <v>#DIV/0!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B658">
            <v>0</v>
          </cell>
          <cell r="E658" t="e">
            <v>#DIV/0!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B659">
            <v>0</v>
          </cell>
          <cell r="E659" t="e">
            <v>#DIV/0!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B660">
            <v>0</v>
          </cell>
          <cell r="E660" t="e">
            <v>#DIV/0!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B661">
            <v>0</v>
          </cell>
          <cell r="E661" t="e">
            <v>#DIV/0!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B662">
            <v>0</v>
          </cell>
          <cell r="E662" t="e">
            <v>#DIV/0!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B663">
            <v>0</v>
          </cell>
          <cell r="E663" t="e">
            <v>#DIV/0!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B664">
            <v>0</v>
          </cell>
          <cell r="E664" t="e">
            <v>#DIV/0!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B665">
            <v>0</v>
          </cell>
          <cell r="E665" t="e">
            <v>#DIV/0!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B666">
            <v>0</v>
          </cell>
          <cell r="E666" t="e">
            <v>#DIV/0!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B667">
            <v>0</v>
          </cell>
          <cell r="E667" t="e">
            <v>#DIV/0!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B668">
            <v>0</v>
          </cell>
          <cell r="E668" t="e">
            <v>#DIV/0!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B669">
            <v>0</v>
          </cell>
          <cell r="E669" t="e">
            <v>#DIV/0!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B670">
            <v>0</v>
          </cell>
          <cell r="E670" t="e">
            <v>#DIV/0!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B671">
            <v>0</v>
          </cell>
          <cell r="E671" t="e">
            <v>#DIV/0!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B672">
            <v>0</v>
          </cell>
          <cell r="E672" t="e">
            <v>#DIV/0!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B673">
            <v>0</v>
          </cell>
          <cell r="E673" t="e">
            <v>#DIV/0!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B674">
            <v>0</v>
          </cell>
          <cell r="E674" t="e">
            <v>#DIV/0!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B675">
            <v>0</v>
          </cell>
          <cell r="E675" t="e">
            <v>#DIV/0!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B676">
            <v>0</v>
          </cell>
          <cell r="E676" t="e">
            <v>#DIV/0!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B677">
            <v>0</v>
          </cell>
          <cell r="E677" t="e">
            <v>#DIV/0!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B678">
            <v>0</v>
          </cell>
          <cell r="E678" t="e">
            <v>#DIV/0!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B679">
            <v>0</v>
          </cell>
          <cell r="E679" t="e">
            <v>#DIV/0!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B680">
            <v>0</v>
          </cell>
          <cell r="E680" t="e">
            <v>#DIV/0!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B681">
            <v>0</v>
          </cell>
          <cell r="E681" t="e">
            <v>#DIV/0!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B682">
            <v>0</v>
          </cell>
          <cell r="E682" t="e">
            <v>#DIV/0!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B683">
            <v>0</v>
          </cell>
          <cell r="E683" t="e">
            <v>#DIV/0!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B684">
            <v>0</v>
          </cell>
          <cell r="E684" t="e">
            <v>#DIV/0!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B685">
            <v>0</v>
          </cell>
          <cell r="E685" t="e">
            <v>#DIV/0!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B686">
            <v>0</v>
          </cell>
          <cell r="E686" t="e">
            <v>#DIV/0!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B687">
            <v>0</v>
          </cell>
          <cell r="E687" t="e">
            <v>#DIV/0!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B688">
            <v>0</v>
          </cell>
          <cell r="E688" t="e">
            <v>#DIV/0!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B689">
            <v>0</v>
          </cell>
          <cell r="E689" t="e">
            <v>#DIV/0!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B690">
            <v>0</v>
          </cell>
          <cell r="E690" t="e">
            <v>#DIV/0!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B691">
            <v>0</v>
          </cell>
          <cell r="E691" t="e">
            <v>#DIV/0!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B692">
            <v>0</v>
          </cell>
          <cell r="E692" t="e">
            <v>#DIV/0!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B693">
            <v>0</v>
          </cell>
          <cell r="E693" t="e">
            <v>#DIV/0!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B694">
            <v>0</v>
          </cell>
          <cell r="E694" t="e">
            <v>#DIV/0!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B695">
            <v>0</v>
          </cell>
          <cell r="E695" t="e">
            <v>#DIV/0!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B696">
            <v>0</v>
          </cell>
          <cell r="E696" t="e">
            <v>#DIV/0!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B697">
            <v>0</v>
          </cell>
          <cell r="E697" t="e">
            <v>#DIV/0!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B698">
            <v>0</v>
          </cell>
          <cell r="E698" t="e">
            <v>#DIV/0!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B699">
            <v>0</v>
          </cell>
          <cell r="E699" t="e">
            <v>#DIV/0!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B700">
            <v>0</v>
          </cell>
          <cell r="J700">
            <v>0</v>
          </cell>
          <cell r="K700">
            <v>0</v>
          </cell>
          <cell r="M700">
            <v>0</v>
          </cell>
        </row>
        <row r="701">
          <cell r="B701">
            <v>0</v>
          </cell>
          <cell r="J701">
            <v>0</v>
          </cell>
          <cell r="K701">
            <v>0</v>
          </cell>
          <cell r="M701">
            <v>0</v>
          </cell>
        </row>
        <row r="702">
          <cell r="B702">
            <v>0</v>
          </cell>
          <cell r="J702">
            <v>0</v>
          </cell>
          <cell r="K702">
            <v>0</v>
          </cell>
          <cell r="M702">
            <v>0</v>
          </cell>
        </row>
        <row r="703">
          <cell r="B703">
            <v>0</v>
          </cell>
          <cell r="J703">
            <v>0</v>
          </cell>
          <cell r="K703">
            <v>0</v>
          </cell>
          <cell r="M703">
            <v>0</v>
          </cell>
        </row>
        <row r="704">
          <cell r="B704">
            <v>0</v>
          </cell>
          <cell r="J704">
            <v>0</v>
          </cell>
          <cell r="K704">
            <v>0</v>
          </cell>
          <cell r="M704">
            <v>0</v>
          </cell>
        </row>
        <row r="705">
          <cell r="B705">
            <v>0</v>
          </cell>
          <cell r="J705">
            <v>0</v>
          </cell>
          <cell r="K705">
            <v>0</v>
          </cell>
          <cell r="M705">
            <v>0</v>
          </cell>
        </row>
        <row r="706">
          <cell r="B706">
            <v>0</v>
          </cell>
          <cell r="J706">
            <v>0</v>
          </cell>
          <cell r="K706">
            <v>0</v>
          </cell>
          <cell r="M706">
            <v>0</v>
          </cell>
        </row>
        <row r="707">
          <cell r="B707">
            <v>0</v>
          </cell>
          <cell r="J707">
            <v>0</v>
          </cell>
          <cell r="K707">
            <v>0</v>
          </cell>
          <cell r="M707">
            <v>0</v>
          </cell>
        </row>
        <row r="708">
          <cell r="B708">
            <v>0</v>
          </cell>
          <cell r="J708">
            <v>0</v>
          </cell>
          <cell r="K708">
            <v>0</v>
          </cell>
          <cell r="M708">
            <v>0</v>
          </cell>
        </row>
        <row r="709">
          <cell r="B709">
            <v>0</v>
          </cell>
          <cell r="J709">
            <v>0</v>
          </cell>
          <cell r="K709">
            <v>0</v>
          </cell>
          <cell r="M709">
            <v>0</v>
          </cell>
        </row>
        <row r="710">
          <cell r="B710">
            <v>0</v>
          </cell>
          <cell r="J710">
            <v>0</v>
          </cell>
          <cell r="K710">
            <v>0</v>
          </cell>
          <cell r="M710">
            <v>0</v>
          </cell>
        </row>
        <row r="711">
          <cell r="B711">
            <v>0</v>
          </cell>
          <cell r="J711">
            <v>0</v>
          </cell>
          <cell r="K711">
            <v>0</v>
          </cell>
          <cell r="M711">
            <v>0</v>
          </cell>
        </row>
        <row r="712">
          <cell r="B712">
            <v>0</v>
          </cell>
          <cell r="J712">
            <v>0</v>
          </cell>
          <cell r="K712">
            <v>0</v>
          </cell>
          <cell r="M712">
            <v>0</v>
          </cell>
        </row>
        <row r="713">
          <cell r="B713">
            <v>0</v>
          </cell>
          <cell r="J713">
            <v>0</v>
          </cell>
          <cell r="K713">
            <v>0</v>
          </cell>
          <cell r="M713">
            <v>0</v>
          </cell>
        </row>
        <row r="714">
          <cell r="B714">
            <v>0</v>
          </cell>
          <cell r="J714">
            <v>0</v>
          </cell>
          <cell r="K714">
            <v>0</v>
          </cell>
          <cell r="M714">
            <v>0</v>
          </cell>
        </row>
        <row r="715">
          <cell r="B715">
            <v>0</v>
          </cell>
          <cell r="J715">
            <v>0</v>
          </cell>
          <cell r="K715">
            <v>0</v>
          </cell>
          <cell r="M715">
            <v>0</v>
          </cell>
        </row>
        <row r="716">
          <cell r="B716">
            <v>0</v>
          </cell>
          <cell r="J716">
            <v>0</v>
          </cell>
          <cell r="K716">
            <v>0</v>
          </cell>
          <cell r="M716">
            <v>0</v>
          </cell>
        </row>
        <row r="717">
          <cell r="B717">
            <v>0</v>
          </cell>
          <cell r="J717">
            <v>0</v>
          </cell>
          <cell r="K717">
            <v>0</v>
          </cell>
          <cell r="M717">
            <v>0</v>
          </cell>
        </row>
        <row r="718">
          <cell r="B718">
            <v>0</v>
          </cell>
          <cell r="J718">
            <v>0</v>
          </cell>
          <cell r="K718">
            <v>0</v>
          </cell>
          <cell r="M718">
            <v>0</v>
          </cell>
        </row>
        <row r="719">
          <cell r="B719">
            <v>0</v>
          </cell>
          <cell r="J719">
            <v>0</v>
          </cell>
          <cell r="K719">
            <v>0</v>
          </cell>
          <cell r="M719">
            <v>0</v>
          </cell>
        </row>
        <row r="720">
          <cell r="B720">
            <v>0</v>
          </cell>
          <cell r="J720">
            <v>0</v>
          </cell>
          <cell r="K720">
            <v>0</v>
          </cell>
          <cell r="M720">
            <v>0</v>
          </cell>
        </row>
        <row r="721">
          <cell r="B721">
            <v>0</v>
          </cell>
          <cell r="J721">
            <v>0</v>
          </cell>
          <cell r="K721">
            <v>0</v>
          </cell>
          <cell r="M721">
            <v>0</v>
          </cell>
        </row>
        <row r="722">
          <cell r="B722">
            <v>0</v>
          </cell>
          <cell r="J722">
            <v>0</v>
          </cell>
          <cell r="K722">
            <v>0</v>
          </cell>
          <cell r="M722">
            <v>0</v>
          </cell>
        </row>
        <row r="723">
          <cell r="B723">
            <v>0</v>
          </cell>
          <cell r="J723">
            <v>0</v>
          </cell>
          <cell r="K723">
            <v>0</v>
          </cell>
          <cell r="M723">
            <v>0</v>
          </cell>
        </row>
        <row r="724">
          <cell r="B724">
            <v>0</v>
          </cell>
          <cell r="J724">
            <v>0</v>
          </cell>
          <cell r="K724">
            <v>0</v>
          </cell>
          <cell r="M724">
            <v>0</v>
          </cell>
        </row>
        <row r="725">
          <cell r="B725">
            <v>0</v>
          </cell>
          <cell r="J725">
            <v>0</v>
          </cell>
          <cell r="K725">
            <v>0</v>
          </cell>
          <cell r="M725">
            <v>0</v>
          </cell>
        </row>
        <row r="726">
          <cell r="B726">
            <v>0</v>
          </cell>
          <cell r="J726">
            <v>0</v>
          </cell>
          <cell r="K726">
            <v>0</v>
          </cell>
          <cell r="M726">
            <v>0</v>
          </cell>
        </row>
        <row r="727">
          <cell r="J727">
            <v>0</v>
          </cell>
          <cell r="K727">
            <v>0</v>
          </cell>
          <cell r="M727">
            <v>0</v>
          </cell>
        </row>
        <row r="728">
          <cell r="J728">
            <v>0</v>
          </cell>
          <cell r="K728">
            <v>0</v>
          </cell>
          <cell r="M728">
            <v>0</v>
          </cell>
        </row>
        <row r="729">
          <cell r="J729">
            <v>0</v>
          </cell>
          <cell r="K729">
            <v>0</v>
          </cell>
          <cell r="M729">
            <v>0</v>
          </cell>
        </row>
        <row r="730">
          <cell r="J730">
            <v>0</v>
          </cell>
          <cell r="K730">
            <v>0</v>
          </cell>
          <cell r="M730">
            <v>0</v>
          </cell>
        </row>
        <row r="731">
          <cell r="J731">
            <v>0</v>
          </cell>
          <cell r="K731">
            <v>0</v>
          </cell>
          <cell r="M731">
            <v>0</v>
          </cell>
        </row>
        <row r="732">
          <cell r="J732">
            <v>0</v>
          </cell>
          <cell r="K732">
            <v>0</v>
          </cell>
          <cell r="M732">
            <v>0</v>
          </cell>
        </row>
        <row r="733">
          <cell r="J733">
            <v>0</v>
          </cell>
          <cell r="K733">
            <v>0</v>
          </cell>
          <cell r="M733">
            <v>0</v>
          </cell>
        </row>
        <row r="734">
          <cell r="J734">
            <v>0</v>
          </cell>
          <cell r="K734">
            <v>0</v>
          </cell>
          <cell r="M734">
            <v>0</v>
          </cell>
        </row>
        <row r="735">
          <cell r="J735">
            <v>0</v>
          </cell>
          <cell r="K735">
            <v>0</v>
          </cell>
          <cell r="M735">
            <v>0</v>
          </cell>
        </row>
        <row r="736">
          <cell r="J736">
            <v>0</v>
          </cell>
          <cell r="K736">
            <v>0</v>
          </cell>
          <cell r="M736">
            <v>0</v>
          </cell>
        </row>
        <row r="737">
          <cell r="J737">
            <v>0</v>
          </cell>
          <cell r="K737">
            <v>0</v>
          </cell>
          <cell r="M737">
            <v>0</v>
          </cell>
        </row>
        <row r="738">
          <cell r="J738">
            <v>0</v>
          </cell>
          <cell r="K738">
            <v>0</v>
          </cell>
          <cell r="M738">
            <v>0</v>
          </cell>
        </row>
        <row r="739">
          <cell r="J739">
            <v>0</v>
          </cell>
          <cell r="K739">
            <v>0</v>
          </cell>
          <cell r="M739">
            <v>0</v>
          </cell>
        </row>
        <row r="740">
          <cell r="J740">
            <v>0</v>
          </cell>
          <cell r="K740">
            <v>0</v>
          </cell>
          <cell r="M740">
            <v>0</v>
          </cell>
        </row>
        <row r="741">
          <cell r="J741">
            <v>0</v>
          </cell>
          <cell r="K741">
            <v>0</v>
          </cell>
          <cell r="M741">
            <v>0</v>
          </cell>
        </row>
        <row r="742">
          <cell r="J742">
            <v>0</v>
          </cell>
          <cell r="K742">
            <v>0</v>
          </cell>
          <cell r="M742">
            <v>0</v>
          </cell>
        </row>
        <row r="743">
          <cell r="J743">
            <v>0</v>
          </cell>
          <cell r="K743">
            <v>0</v>
          </cell>
          <cell r="M743">
            <v>0</v>
          </cell>
        </row>
        <row r="744">
          <cell r="J744">
            <v>0</v>
          </cell>
          <cell r="K744">
            <v>0</v>
          </cell>
          <cell r="M744">
            <v>0</v>
          </cell>
        </row>
        <row r="745">
          <cell r="J745">
            <v>0</v>
          </cell>
          <cell r="K745">
            <v>0</v>
          </cell>
          <cell r="M745">
            <v>0</v>
          </cell>
        </row>
        <row r="746">
          <cell r="A746" t="str">
            <v>Nicolas Pépé</v>
          </cell>
          <cell r="B746" t="str">
            <v>Pepe</v>
          </cell>
          <cell r="J746">
            <v>0</v>
          </cell>
          <cell r="K746">
            <v>0</v>
          </cell>
          <cell r="M746" t="str">
            <v>ARS</v>
          </cell>
        </row>
        <row r="748">
          <cell r="A748" t="str">
            <v>Nuno Varela Tavares</v>
          </cell>
          <cell r="B748" t="str">
            <v>Tavares</v>
          </cell>
          <cell r="J748">
            <v>0</v>
          </cell>
          <cell r="K748">
            <v>0</v>
          </cell>
          <cell r="M748" t="str">
            <v>ARS</v>
          </cell>
        </row>
        <row r="749">
          <cell r="A749" t="str">
            <v>Tim Iroegbunam</v>
          </cell>
          <cell r="B749" t="str">
            <v>Iroegbunam</v>
          </cell>
          <cell r="J749">
            <v>0</v>
          </cell>
          <cell r="K749">
            <v>0</v>
          </cell>
          <cell r="M749" t="str">
            <v>AVL</v>
          </cell>
        </row>
        <row r="750">
          <cell r="A750" t="str">
            <v>Jaden Philogene-Bidace</v>
          </cell>
          <cell r="B750" t="str">
            <v>Philogene</v>
          </cell>
          <cell r="J750">
            <v>0</v>
          </cell>
          <cell r="K750">
            <v>0</v>
          </cell>
          <cell r="M750" t="str">
            <v>AVL</v>
          </cell>
        </row>
        <row r="751">
          <cell r="A751" t="str">
            <v>Keinan Davis</v>
          </cell>
          <cell r="B751" t="str">
            <v>Davis</v>
          </cell>
          <cell r="J751">
            <v>0</v>
          </cell>
          <cell r="K751">
            <v>0</v>
          </cell>
          <cell r="M751" t="str">
            <v>AVL</v>
          </cell>
        </row>
        <row r="752">
          <cell r="A752" t="str">
            <v>Kortney Hause</v>
          </cell>
          <cell r="B752" t="str">
            <v>Hause</v>
          </cell>
          <cell r="J752">
            <v>0</v>
          </cell>
          <cell r="K752">
            <v>0</v>
          </cell>
          <cell r="M752" t="str">
            <v>AVL</v>
          </cell>
        </row>
        <row r="753">
          <cell r="A753" t="str">
            <v>Darren Randolph</v>
          </cell>
          <cell r="B753" t="str">
            <v>Randolph</v>
          </cell>
          <cell r="J753">
            <v>0</v>
          </cell>
          <cell r="K753">
            <v>0</v>
          </cell>
          <cell r="M753" t="str">
            <v>BOU</v>
          </cell>
        </row>
        <row r="754">
          <cell r="A754" t="str">
            <v>James Hill</v>
          </cell>
          <cell r="B754" t="str">
            <v>Hill</v>
          </cell>
          <cell r="J754">
            <v>0</v>
          </cell>
          <cell r="K754">
            <v>0</v>
          </cell>
          <cell r="M754" t="str">
            <v>BOU</v>
          </cell>
        </row>
        <row r="755">
          <cell r="A755" t="str">
            <v>Mads Bidstrup</v>
          </cell>
          <cell r="B755" t="str">
            <v>Bidstrup</v>
          </cell>
          <cell r="J755">
            <v>0</v>
          </cell>
          <cell r="K755">
            <v>0</v>
          </cell>
          <cell r="M755" t="str">
            <v>BRE</v>
          </cell>
        </row>
        <row r="756">
          <cell r="A756" t="str">
            <v>Thomas Strakosha</v>
          </cell>
          <cell r="B756" t="str">
            <v>Strakosha</v>
          </cell>
          <cell r="J756">
            <v>0</v>
          </cell>
          <cell r="K756">
            <v>0</v>
          </cell>
          <cell r="M756" t="str">
            <v>BRE</v>
          </cell>
        </row>
        <row r="757">
          <cell r="A757" t="str">
            <v>Ellery Balcombe</v>
          </cell>
          <cell r="B757" t="str">
            <v>Balcombe</v>
          </cell>
          <cell r="J757">
            <v>0</v>
          </cell>
          <cell r="K757">
            <v>0</v>
          </cell>
          <cell r="M757" t="str">
            <v>BRE</v>
          </cell>
        </row>
        <row r="758">
          <cell r="A758" t="str">
            <v>Charlie Goode</v>
          </cell>
          <cell r="B758" t="str">
            <v>Goode</v>
          </cell>
          <cell r="J758">
            <v>0</v>
          </cell>
          <cell r="K758">
            <v>0</v>
          </cell>
          <cell r="M758" t="str">
            <v>BRE</v>
          </cell>
        </row>
        <row r="759">
          <cell r="A759" t="str">
            <v>Jakub Moder</v>
          </cell>
          <cell r="B759" t="str">
            <v>Moder</v>
          </cell>
          <cell r="J759">
            <v>0</v>
          </cell>
          <cell r="K759">
            <v>0</v>
          </cell>
          <cell r="M759" t="str">
            <v>BHA</v>
          </cell>
        </row>
        <row r="760">
          <cell r="A760" t="str">
            <v>Steven Alzate</v>
          </cell>
          <cell r="B760" t="str">
            <v>Alzate</v>
          </cell>
          <cell r="J760">
            <v>0</v>
          </cell>
          <cell r="K760">
            <v>0</v>
          </cell>
          <cell r="M760" t="str">
            <v>BHA</v>
          </cell>
        </row>
        <row r="761">
          <cell r="A761" t="str">
            <v>Kacper Kozłowski</v>
          </cell>
          <cell r="B761" t="str">
            <v>Kozłowski</v>
          </cell>
          <cell r="J761">
            <v>0</v>
          </cell>
          <cell r="K761">
            <v>0</v>
          </cell>
          <cell r="M761" t="str">
            <v>BHA</v>
          </cell>
        </row>
        <row r="762">
          <cell r="A762" t="str">
            <v>Kjell Scherpen</v>
          </cell>
          <cell r="B762" t="str">
            <v>Scherpen</v>
          </cell>
          <cell r="J762">
            <v>0</v>
          </cell>
          <cell r="K762">
            <v>0</v>
          </cell>
          <cell r="M762" t="str">
            <v>BHA</v>
          </cell>
        </row>
        <row r="763">
          <cell r="A763" t="str">
            <v>Callum Hudson-Odoi</v>
          </cell>
          <cell r="B763" t="str">
            <v>Hudson-Odoi</v>
          </cell>
          <cell r="J763">
            <v>0</v>
          </cell>
          <cell r="K763">
            <v>0</v>
          </cell>
          <cell r="M763" t="str">
            <v>CHE</v>
          </cell>
        </row>
        <row r="764">
          <cell r="A764" t="str">
            <v>Malang Sarr</v>
          </cell>
          <cell r="B764" t="str">
            <v>M.Sarr</v>
          </cell>
          <cell r="J764">
            <v>0</v>
          </cell>
          <cell r="K764">
            <v>0</v>
          </cell>
          <cell r="M764" t="str">
            <v>CHE</v>
          </cell>
        </row>
        <row r="765">
          <cell r="A765" t="str">
            <v>Ethan Ampadu</v>
          </cell>
          <cell r="B765" t="str">
            <v>Ampadu</v>
          </cell>
          <cell r="J765">
            <v>0</v>
          </cell>
          <cell r="K765">
            <v>0</v>
          </cell>
          <cell r="M765" t="str">
            <v>CHE</v>
          </cell>
        </row>
        <row r="766">
          <cell r="A766" t="str">
            <v>Remi Matthews</v>
          </cell>
          <cell r="B766" t="str">
            <v>Matthews</v>
          </cell>
          <cell r="J766">
            <v>0</v>
          </cell>
          <cell r="K766">
            <v>0</v>
          </cell>
          <cell r="M766" t="str">
            <v>CRY</v>
          </cell>
        </row>
        <row r="767">
          <cell r="A767" t="str">
            <v>Luke Plange</v>
          </cell>
          <cell r="B767" t="str">
            <v>Plange</v>
          </cell>
          <cell r="J767">
            <v>0</v>
          </cell>
          <cell r="K767">
            <v>0</v>
          </cell>
          <cell r="M767" t="str">
            <v>CRY</v>
          </cell>
        </row>
        <row r="768">
          <cell r="A768" t="str">
            <v>André Tavares Gomes</v>
          </cell>
          <cell r="B768" t="str">
            <v>André Gomes</v>
          </cell>
          <cell r="J768">
            <v>0</v>
          </cell>
          <cell r="K768">
            <v>0</v>
          </cell>
          <cell r="M768" t="str">
            <v>EVE</v>
          </cell>
        </row>
        <row r="769">
          <cell r="A769" t="str">
            <v>Jean-Philippe Gbamin</v>
          </cell>
          <cell r="B769" t="str">
            <v>Gbamin</v>
          </cell>
          <cell r="J769">
            <v>0</v>
          </cell>
          <cell r="K769">
            <v>0</v>
          </cell>
          <cell r="M769" t="str">
            <v>EVE</v>
          </cell>
        </row>
        <row r="770">
          <cell r="A770" t="str">
            <v>Jarrad Branthwaite</v>
          </cell>
          <cell r="B770" t="str">
            <v>Branthwaite</v>
          </cell>
          <cell r="J770">
            <v>0</v>
          </cell>
          <cell r="K770">
            <v>0</v>
          </cell>
          <cell r="M770" t="str">
            <v>EVE</v>
          </cell>
        </row>
        <row r="771">
          <cell r="A771" t="str">
            <v>Anthony Knockaert</v>
          </cell>
          <cell r="B771" t="str">
            <v>Knockaert</v>
          </cell>
          <cell r="J771">
            <v>0</v>
          </cell>
          <cell r="K771">
            <v>0</v>
          </cell>
          <cell r="M771" t="str">
            <v>FUL</v>
          </cell>
        </row>
        <row r="772">
          <cell r="A772" t="str">
            <v>Ivan Neves Abreu Cavaleiro</v>
          </cell>
          <cell r="B772" t="str">
            <v>I.Cavaleiro</v>
          </cell>
          <cell r="J772">
            <v>0</v>
          </cell>
          <cell r="K772">
            <v>0</v>
          </cell>
          <cell r="M772" t="str">
            <v>FUL</v>
          </cell>
        </row>
        <row r="773">
          <cell r="A773" t="str">
            <v>Rodrigo Muniz Carvalho</v>
          </cell>
          <cell r="B773" t="str">
            <v>Muniz</v>
          </cell>
          <cell r="J773">
            <v>0</v>
          </cell>
          <cell r="K773">
            <v>0</v>
          </cell>
          <cell r="M773" t="str">
            <v>FUL</v>
          </cell>
        </row>
        <row r="774">
          <cell r="A774" t="str">
            <v>Terence Kongolo</v>
          </cell>
          <cell r="B774" t="str">
            <v>Kongolo</v>
          </cell>
          <cell r="J774">
            <v>0</v>
          </cell>
          <cell r="K774">
            <v>0</v>
          </cell>
          <cell r="M774" t="str">
            <v>FUL</v>
          </cell>
        </row>
        <row r="775">
          <cell r="A775" t="str">
            <v>Adrián San Miguel del Castillo</v>
          </cell>
          <cell r="B775" t="str">
            <v>Adrián</v>
          </cell>
          <cell r="J775">
            <v>0</v>
          </cell>
          <cell r="K775">
            <v>0</v>
          </cell>
          <cell r="M775" t="str">
            <v>LIV</v>
          </cell>
        </row>
        <row r="776">
          <cell r="A776" t="str">
            <v>Sepp van den Berg</v>
          </cell>
          <cell r="B776" t="str">
            <v>Van den Berg</v>
          </cell>
          <cell r="J776">
            <v>0</v>
          </cell>
          <cell r="K776">
            <v>0</v>
          </cell>
          <cell r="M776" t="str">
            <v>LIV</v>
          </cell>
        </row>
        <row r="777">
          <cell r="A777" t="str">
            <v>Marvelous Nakamba</v>
          </cell>
          <cell r="B777" t="str">
            <v>Nakamba</v>
          </cell>
          <cell r="J777">
            <v>0</v>
          </cell>
          <cell r="K777">
            <v>0</v>
          </cell>
          <cell r="M777" t="str">
            <v>LUT</v>
          </cell>
        </row>
        <row r="778">
          <cell r="A778" t="str">
            <v>James McAtee</v>
          </cell>
          <cell r="B778" t="str">
            <v>McAtee</v>
          </cell>
          <cell r="J778">
            <v>0</v>
          </cell>
          <cell r="K778">
            <v>0</v>
          </cell>
          <cell r="M778" t="str">
            <v>MCI</v>
          </cell>
        </row>
        <row r="779">
          <cell r="A779" t="str">
            <v>Scott Carson</v>
          </cell>
          <cell r="B779" t="str">
            <v>Carson</v>
          </cell>
          <cell r="J779">
            <v>0</v>
          </cell>
          <cell r="K779">
            <v>0</v>
          </cell>
          <cell r="M779" t="str">
            <v>MCI</v>
          </cell>
        </row>
        <row r="780">
          <cell r="A780" t="str">
            <v>Zack Steffen</v>
          </cell>
          <cell r="B780" t="str">
            <v>Steffen</v>
          </cell>
          <cell r="J780">
            <v>0</v>
          </cell>
          <cell r="K780">
            <v>0</v>
          </cell>
          <cell r="M780" t="str">
            <v>MCI</v>
          </cell>
        </row>
        <row r="781">
          <cell r="A781" t="str">
            <v>Amad Diallo</v>
          </cell>
          <cell r="B781" t="str">
            <v>Amad</v>
          </cell>
          <cell r="J781">
            <v>0</v>
          </cell>
          <cell r="K781">
            <v>0</v>
          </cell>
          <cell r="M781" t="str">
            <v>MUN</v>
          </cell>
        </row>
        <row r="782">
          <cell r="A782" t="str">
            <v>Tom Heaton</v>
          </cell>
          <cell r="B782" t="str">
            <v>Heaton</v>
          </cell>
          <cell r="J782">
            <v>0</v>
          </cell>
          <cell r="K782">
            <v>0</v>
          </cell>
          <cell r="M782" t="str">
            <v>MUN</v>
          </cell>
        </row>
        <row r="783">
          <cell r="A783" t="str">
            <v>Brandon Williams</v>
          </cell>
          <cell r="B783" t="str">
            <v>B.Williams</v>
          </cell>
          <cell r="J783">
            <v>0</v>
          </cell>
          <cell r="K783">
            <v>0</v>
          </cell>
          <cell r="M783" t="str">
            <v>MUN</v>
          </cell>
        </row>
        <row r="784">
          <cell r="A784" t="str">
            <v>Eric Bailly</v>
          </cell>
          <cell r="B784" t="str">
            <v>Bailly</v>
          </cell>
          <cell r="J784">
            <v>0</v>
          </cell>
          <cell r="K784">
            <v>0</v>
          </cell>
          <cell r="M784" t="str">
            <v>MUN</v>
          </cell>
        </row>
        <row r="785">
          <cell r="A785" t="str">
            <v>Alex Telles</v>
          </cell>
          <cell r="B785" t="str">
            <v>Alex Telles</v>
          </cell>
          <cell r="J785">
            <v>0</v>
          </cell>
          <cell r="K785">
            <v>0</v>
          </cell>
          <cell r="M785" t="str">
            <v>MUN</v>
          </cell>
        </row>
        <row r="786">
          <cell r="A786" t="str">
            <v>Jeff Hendrick</v>
          </cell>
          <cell r="B786" t="str">
            <v>Hendrick</v>
          </cell>
          <cell r="J786">
            <v>0</v>
          </cell>
          <cell r="K786">
            <v>0</v>
          </cell>
          <cell r="M786" t="str">
            <v>NEW</v>
          </cell>
        </row>
        <row r="787">
          <cell r="A787" t="str">
            <v>Karl Darlow</v>
          </cell>
          <cell r="B787" t="str">
            <v>Darlow</v>
          </cell>
          <cell r="J787">
            <v>0</v>
          </cell>
          <cell r="K787">
            <v>0</v>
          </cell>
          <cell r="M787" t="str">
            <v>NEW</v>
          </cell>
        </row>
        <row r="788">
          <cell r="A788" t="str">
            <v>Paul Dummett</v>
          </cell>
          <cell r="B788" t="str">
            <v>Dummett</v>
          </cell>
          <cell r="J788">
            <v>0</v>
          </cell>
          <cell r="K788">
            <v>0</v>
          </cell>
          <cell r="M788" t="str">
            <v>NEW</v>
          </cell>
        </row>
        <row r="789">
          <cell r="A789" t="str">
            <v>Harrison Ashby</v>
          </cell>
          <cell r="B789" t="str">
            <v>Ashby</v>
          </cell>
          <cell r="J789">
            <v>0</v>
          </cell>
          <cell r="K789">
            <v>0</v>
          </cell>
          <cell r="M789" t="str">
            <v>NEW</v>
          </cell>
        </row>
        <row r="790">
          <cell r="A790" t="str">
            <v>Harry Arter</v>
          </cell>
          <cell r="B790" t="str">
            <v>Arter</v>
          </cell>
          <cell r="J790">
            <v>0</v>
          </cell>
          <cell r="K790">
            <v>0</v>
          </cell>
          <cell r="M790" t="str">
            <v>NFO</v>
          </cell>
        </row>
        <row r="791">
          <cell r="A791" t="str">
            <v>Braian Ojeda Rodríguez</v>
          </cell>
          <cell r="B791" t="str">
            <v>Ojeda</v>
          </cell>
          <cell r="J791">
            <v>0</v>
          </cell>
          <cell r="K791">
            <v>0</v>
          </cell>
          <cell r="M791" t="str">
            <v>NFO</v>
          </cell>
        </row>
        <row r="792">
          <cell r="A792" t="str">
            <v>Mohamed Dräger</v>
          </cell>
          <cell r="B792" t="str">
            <v>Dräger</v>
          </cell>
          <cell r="J792">
            <v>0</v>
          </cell>
          <cell r="K792">
            <v>0</v>
          </cell>
          <cell r="M792" t="str">
            <v>NFO</v>
          </cell>
        </row>
        <row r="793">
          <cell r="A793" t="str">
            <v>Jonathan Panzo</v>
          </cell>
          <cell r="B793" t="str">
            <v>Panzo</v>
          </cell>
          <cell r="J793">
            <v>0</v>
          </cell>
          <cell r="K793">
            <v>0</v>
          </cell>
          <cell r="M793" t="str">
            <v>NFO</v>
          </cell>
        </row>
        <row r="794">
          <cell r="A794" t="str">
            <v>Loïc Mbe Soh</v>
          </cell>
          <cell r="B794" t="str">
            <v>Mbe Soh</v>
          </cell>
          <cell r="J794">
            <v>0</v>
          </cell>
          <cell r="K794">
            <v>0</v>
          </cell>
          <cell r="M794" t="str">
            <v>NFO</v>
          </cell>
        </row>
        <row r="795">
          <cell r="A795" t="str">
            <v>Omar Richards</v>
          </cell>
          <cell r="B795" t="str">
            <v>O.Richards</v>
          </cell>
          <cell r="J795">
            <v>0</v>
          </cell>
          <cell r="K795">
            <v>0</v>
          </cell>
          <cell r="M795" t="str">
            <v>NFO</v>
          </cell>
        </row>
        <row r="796">
          <cell r="A796" t="str">
            <v>Richie Laryea</v>
          </cell>
          <cell r="B796" t="str">
            <v>Laryea</v>
          </cell>
          <cell r="J796">
            <v>0</v>
          </cell>
          <cell r="K796">
            <v>0</v>
          </cell>
          <cell r="M796" t="str">
            <v>NFO</v>
          </cell>
        </row>
        <row r="797">
          <cell r="A797" t="str">
            <v>Brandon Austin</v>
          </cell>
          <cell r="B797" t="str">
            <v>Austin</v>
          </cell>
          <cell r="J797">
            <v>0</v>
          </cell>
          <cell r="K797">
            <v>0</v>
          </cell>
          <cell r="M797" t="str">
            <v>TOT</v>
          </cell>
        </row>
        <row r="798">
          <cell r="A798" t="str">
            <v>Sergio Reguilón</v>
          </cell>
          <cell r="B798" t="str">
            <v>Reguilón</v>
          </cell>
          <cell r="J798">
            <v>0</v>
          </cell>
          <cell r="K798">
            <v>0</v>
          </cell>
          <cell r="M798" t="str">
            <v>TOT</v>
          </cell>
        </row>
        <row r="799">
          <cell r="A799" t="str">
            <v>Joe Rodon</v>
          </cell>
          <cell r="B799" t="str">
            <v>Rodon</v>
          </cell>
          <cell r="J799">
            <v>0</v>
          </cell>
          <cell r="K799">
            <v>0</v>
          </cell>
          <cell r="M799" t="str">
            <v>TOT</v>
          </cell>
        </row>
        <row r="800">
          <cell r="A800" t="str">
            <v>Luke Cundle</v>
          </cell>
          <cell r="B800" t="str">
            <v>Cundle</v>
          </cell>
          <cell r="J800">
            <v>0</v>
          </cell>
          <cell r="K800">
            <v>0</v>
          </cell>
          <cell r="M800" t="str">
            <v>WOL</v>
          </cell>
        </row>
        <row r="801">
          <cell r="A801" t="str">
            <v>Francisco Jorge Tomás Oliveira</v>
          </cell>
          <cell r="B801" t="str">
            <v>Chiquinho</v>
          </cell>
          <cell r="J801">
            <v>0</v>
          </cell>
          <cell r="K801">
            <v>0</v>
          </cell>
          <cell r="M801" t="str">
            <v>WOL</v>
          </cell>
        </row>
        <row r="802">
          <cell r="A802" t="str">
            <v>Matija Šarkić</v>
          </cell>
          <cell r="B802" t="str">
            <v>Šarkić</v>
          </cell>
          <cell r="J802">
            <v>0</v>
          </cell>
          <cell r="K802">
            <v>0</v>
          </cell>
          <cell r="M802" t="str">
            <v>WOL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I"/>
      <sheetName val="PlayerStats"/>
      <sheetName val="PlayingTime"/>
      <sheetName val="Transfer History"/>
      <sheetName val="Table"/>
      <sheetName val="Table2"/>
      <sheetName val="2223Table"/>
      <sheetName val="2223Table2"/>
      <sheetName val="DATA2"/>
    </sheetNames>
    <sheetDataSet>
      <sheetData sheetId="0"/>
      <sheetData sheetId="1"/>
      <sheetData sheetId="2"/>
      <sheetData sheetId="3">
        <row r="1">
          <cell r="A1" t="str">
            <v>Time</v>
          </cell>
          <cell r="B1" t="str">
            <v>In</v>
          </cell>
          <cell r="C1" t="str">
            <v>Out</v>
          </cell>
          <cell r="D1" t="str">
            <v>Active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69130-8305-44B4-8C1F-85665B81182F}">
  <sheetPr codeName="Sheet1"/>
  <dimension ref="A1:K665"/>
  <sheetViews>
    <sheetView tabSelected="1" workbookViewId="0">
      <selection activeCell="I15" sqref="I15"/>
    </sheetView>
  </sheetViews>
  <sheetFormatPr defaultRowHeight="15" x14ac:dyDescent="0.25"/>
  <cols>
    <col min="1" max="1" width="9" style="6"/>
    <col min="2" max="2" width="3" style="7" customWidth="1"/>
    <col min="3" max="3" width="6.875" style="7" customWidth="1"/>
    <col min="4" max="4" width="9" style="4"/>
    <col min="5" max="5" width="35.75" style="4" customWidth="1"/>
    <col min="6" max="8" width="9" style="4"/>
    <col min="9" max="9" width="43.375" style="4" customWidth="1"/>
    <col min="10" max="16384" width="9" style="4"/>
  </cols>
  <sheetData>
    <row r="1" spans="1:11" x14ac:dyDescent="0.25">
      <c r="A1" s="6" t="s">
        <v>0</v>
      </c>
      <c r="D1" s="4" t="s">
        <v>56</v>
      </c>
      <c r="K1" s="5" t="s">
        <v>55</v>
      </c>
    </row>
    <row r="2" spans="1:11" ht="15.75" thickBot="1" x14ac:dyDescent="0.3">
      <c r="E2" s="12" t="s">
        <v>44</v>
      </c>
    </row>
    <row r="3" spans="1:11" ht="15.75" thickBot="1" x14ac:dyDescent="0.3">
      <c r="E3" s="13" t="s">
        <v>45</v>
      </c>
      <c r="I3" s="15" t="s">
        <v>46</v>
      </c>
      <c r="J3" s="14">
        <v>32</v>
      </c>
    </row>
    <row r="4" spans="1:11" x14ac:dyDescent="0.25">
      <c r="A4" s="6" t="s">
        <v>1</v>
      </c>
      <c r="D4" s="8" t="s">
        <v>42</v>
      </c>
      <c r="E4" s="9" t="s">
        <v>41</v>
      </c>
      <c r="F4" s="8"/>
      <c r="G4" s="8" t="s">
        <v>43</v>
      </c>
    </row>
    <row r="5" spans="1:11" x14ac:dyDescent="0.25">
      <c r="A5" s="6" t="s">
        <v>1</v>
      </c>
      <c r="B5" s="7">
        <v>1</v>
      </c>
      <c r="C5" s="7" t="str">
        <f>A5&amp;-B5</f>
        <v>GW1-1</v>
      </c>
      <c r="D5" s="1" t="str">
        <f>IFERROR(VLOOKUP(E5,[1]FINAL!$A$2:$J$699,MATCH("Pos",[1]FINAL!$A$1:$J$1,0),0),"")</f>
        <v/>
      </c>
      <c r="E5" s="4" t="s">
        <v>54</v>
      </c>
      <c r="F5" s="2" t="str">
        <f>IF(Z5="","","IN")</f>
        <v/>
      </c>
      <c r="G5" s="2" t="str">
        <f>IFERROR(VLOOKUP(E5,[1]FINAL!$A$2:$M$699,MATCH("Team",[1]FINAL!$A$1:$K$1,0),0),"")</f>
        <v/>
      </c>
    </row>
    <row r="6" spans="1:11" x14ac:dyDescent="0.25">
      <c r="A6" s="6" t="s">
        <v>1</v>
      </c>
      <c r="B6" s="7">
        <v>2</v>
      </c>
      <c r="C6" s="7" t="str">
        <f t="shared" ref="C6:C19" si="0">A6&amp;-B6</f>
        <v>GW1-2</v>
      </c>
      <c r="D6" s="1" t="str">
        <f>IFERROR(VLOOKUP(E6,[1]FINAL!$A$2:$J$699,MATCH("Pos",[1]FINAL!$A$1:$J$1,0),0),"")</f>
        <v/>
      </c>
      <c r="E6" s="4" t="s">
        <v>57</v>
      </c>
      <c r="F6" s="2" t="str">
        <f t="shared" ref="F6:F19" si="1">IF(Z6="","","IN")</f>
        <v/>
      </c>
      <c r="G6" s="2" t="str">
        <f>IFERROR(VLOOKUP(E6,[1]FINAL!$A$2:$M$699,MATCH("Team",[1]FINAL!$A$1:$K$1,0),0),"")</f>
        <v/>
      </c>
    </row>
    <row r="7" spans="1:11" x14ac:dyDescent="0.25">
      <c r="A7" s="6" t="s">
        <v>1</v>
      </c>
      <c r="B7" s="7">
        <v>3</v>
      </c>
      <c r="C7" s="7" t="str">
        <f t="shared" si="0"/>
        <v>GW1-3</v>
      </c>
      <c r="D7" s="1" t="str">
        <f>IFERROR(VLOOKUP(E7,[1]FINAL!$A$2:$J$699,MATCH("Pos",[1]FINAL!$A$1:$J$1,0),0),"")</f>
        <v/>
      </c>
      <c r="E7" s="4" t="s">
        <v>57</v>
      </c>
      <c r="F7" s="2" t="str">
        <f t="shared" si="1"/>
        <v/>
      </c>
      <c r="G7" s="2" t="str">
        <f>IFERROR(VLOOKUP(E7,[1]FINAL!$A$2:$M$699,MATCH("Team",[1]FINAL!$A$1:$K$1,0),0),"")</f>
        <v/>
      </c>
    </row>
    <row r="8" spans="1:11" x14ac:dyDescent="0.25">
      <c r="A8" s="6" t="s">
        <v>1</v>
      </c>
      <c r="B8" s="7">
        <v>4</v>
      </c>
      <c r="C8" s="7" t="str">
        <f t="shared" si="0"/>
        <v>GW1-4</v>
      </c>
      <c r="D8" s="1" t="str">
        <f>IFERROR(VLOOKUP(E8,[1]FINAL!$A$2:$J$699,MATCH("Pos",[1]FINAL!$A$1:$J$1,0),0),"")</f>
        <v/>
      </c>
      <c r="E8" s="4" t="s">
        <v>57</v>
      </c>
      <c r="F8" s="2" t="str">
        <f t="shared" si="1"/>
        <v/>
      </c>
      <c r="G8" s="2" t="str">
        <f>IFERROR(VLOOKUP(E8,[1]FINAL!$A$2:$M$699,MATCH("Team",[1]FINAL!$A$1:$K$1,0),0),"")</f>
        <v/>
      </c>
    </row>
    <row r="9" spans="1:11" x14ac:dyDescent="0.25">
      <c r="A9" s="6" t="s">
        <v>1</v>
      </c>
      <c r="B9" s="7">
        <v>5</v>
      </c>
      <c r="C9" s="7" t="str">
        <f t="shared" si="0"/>
        <v>GW1-5</v>
      </c>
      <c r="D9" s="1" t="str">
        <f>IFERROR(VLOOKUP(E9,[1]FINAL!$A$2:$J$699,MATCH("Pos",[1]FINAL!$A$1:$J$1,0),0),"")</f>
        <v/>
      </c>
      <c r="E9" s="4" t="s">
        <v>57</v>
      </c>
      <c r="F9" s="2" t="str">
        <f t="shared" si="1"/>
        <v/>
      </c>
      <c r="G9" s="2" t="str">
        <f>IFERROR(VLOOKUP(E9,[1]FINAL!$A$2:$M$699,MATCH("Team",[1]FINAL!$A$1:$K$1,0),0),"")</f>
        <v/>
      </c>
    </row>
    <row r="10" spans="1:11" x14ac:dyDescent="0.25">
      <c r="A10" s="6" t="s">
        <v>1</v>
      </c>
      <c r="B10" s="7">
        <v>6</v>
      </c>
      <c r="C10" s="7" t="str">
        <f t="shared" si="0"/>
        <v>GW1-6</v>
      </c>
      <c r="D10" s="1" t="str">
        <f>IFERROR(VLOOKUP(E10,[1]FINAL!$A$2:$J$699,MATCH("Pos",[1]FINAL!$A$1:$J$1,0),0),"")</f>
        <v/>
      </c>
      <c r="E10" s="4" t="s">
        <v>57</v>
      </c>
      <c r="F10" s="2" t="str">
        <f t="shared" si="1"/>
        <v/>
      </c>
      <c r="G10" s="2" t="str">
        <f>IFERROR(VLOOKUP(E10,[1]FINAL!$A$2:$M$699,MATCH("Team",[1]FINAL!$A$1:$K$1,0),0),"")</f>
        <v/>
      </c>
    </row>
    <row r="11" spans="1:11" x14ac:dyDescent="0.25">
      <c r="A11" s="6" t="s">
        <v>1</v>
      </c>
      <c r="B11" s="7">
        <v>7</v>
      </c>
      <c r="C11" s="7" t="str">
        <f t="shared" si="0"/>
        <v>GW1-7</v>
      </c>
      <c r="D11" s="1" t="str">
        <f>IFERROR(VLOOKUP(E11,[1]FINAL!$A$2:$J$699,MATCH("Pos",[1]FINAL!$A$1:$J$1,0),0),"")</f>
        <v/>
      </c>
      <c r="E11" s="4" t="s">
        <v>57</v>
      </c>
      <c r="F11" s="2" t="str">
        <f t="shared" si="1"/>
        <v/>
      </c>
      <c r="G11" s="2" t="str">
        <f>IFERROR(VLOOKUP(E11,[1]FINAL!$A$2:$M$699,MATCH("Team",[1]FINAL!$A$1:$K$1,0),0),"")</f>
        <v/>
      </c>
    </row>
    <row r="12" spans="1:11" x14ac:dyDescent="0.25">
      <c r="A12" s="6" t="s">
        <v>1</v>
      </c>
      <c r="B12" s="7">
        <v>8</v>
      </c>
      <c r="C12" s="7" t="str">
        <f t="shared" si="0"/>
        <v>GW1-8</v>
      </c>
      <c r="D12" s="1" t="str">
        <f>IFERROR(VLOOKUP(E12,[1]FINAL!$A$2:$J$699,MATCH("Pos",[1]FINAL!$A$1:$J$1,0),0),"")</f>
        <v/>
      </c>
      <c r="E12" s="4" t="s">
        <v>57</v>
      </c>
      <c r="F12" s="2" t="str">
        <f t="shared" si="1"/>
        <v/>
      </c>
      <c r="G12" s="2" t="str">
        <f>IFERROR(VLOOKUP(E12,[1]FINAL!$A$2:$M$699,MATCH("Team",[1]FINAL!$A$1:$K$1,0),0),"")</f>
        <v/>
      </c>
    </row>
    <row r="13" spans="1:11" x14ac:dyDescent="0.25">
      <c r="A13" s="6" t="s">
        <v>1</v>
      </c>
      <c r="B13" s="7">
        <v>9</v>
      </c>
      <c r="C13" s="7" t="str">
        <f t="shared" si="0"/>
        <v>GW1-9</v>
      </c>
      <c r="D13" s="1" t="str">
        <f>IFERROR(VLOOKUP(E13,[1]FINAL!$A$2:$J$699,MATCH("Pos",[1]FINAL!$A$1:$J$1,0),0),"")</f>
        <v/>
      </c>
      <c r="E13" s="4" t="s">
        <v>57</v>
      </c>
      <c r="F13" s="2" t="str">
        <f t="shared" si="1"/>
        <v/>
      </c>
      <c r="G13" s="2" t="str">
        <f>IFERROR(VLOOKUP(E13,[1]FINAL!$A$2:$M$699,MATCH("Team",[1]FINAL!$A$1:$K$1,0),0),"")</f>
        <v/>
      </c>
    </row>
    <row r="14" spans="1:11" x14ac:dyDescent="0.25">
      <c r="A14" s="6" t="s">
        <v>1</v>
      </c>
      <c r="B14" s="7">
        <v>10</v>
      </c>
      <c r="C14" s="7" t="str">
        <f t="shared" si="0"/>
        <v>GW1-10</v>
      </c>
      <c r="D14" s="1" t="str">
        <f>IFERROR(VLOOKUP(E14,[1]FINAL!$A$2:$J$699,MATCH("Pos",[1]FINAL!$A$1:$J$1,0),0),"")</f>
        <v/>
      </c>
      <c r="E14" s="4" t="s">
        <v>57</v>
      </c>
      <c r="F14" s="2" t="str">
        <f t="shared" si="1"/>
        <v/>
      </c>
      <c r="G14" s="2" t="str">
        <f>IFERROR(VLOOKUP(E14,[1]FINAL!$A$2:$M$699,MATCH("Team",[1]FINAL!$A$1:$K$1,0),0),"")</f>
        <v/>
      </c>
    </row>
    <row r="15" spans="1:11" x14ac:dyDescent="0.25">
      <c r="A15" s="6" t="s">
        <v>1</v>
      </c>
      <c r="B15" s="7">
        <v>11</v>
      </c>
      <c r="C15" s="7" t="str">
        <f t="shared" si="0"/>
        <v>GW1-11</v>
      </c>
      <c r="D15" s="1" t="str">
        <f>IFERROR(VLOOKUP(E15,[1]FINAL!$A$2:$J$699,MATCH("Pos",[1]FINAL!$A$1:$J$1,0),0),"")</f>
        <v/>
      </c>
      <c r="E15" s="4" t="s">
        <v>57</v>
      </c>
      <c r="F15" s="2" t="str">
        <f t="shared" si="1"/>
        <v/>
      </c>
      <c r="G15" s="2" t="str">
        <f>IFERROR(VLOOKUP(E15,[1]FINAL!$A$2:$M$699,MATCH("Team",[1]FINAL!$A$1:$K$1,0),0),"")</f>
        <v/>
      </c>
    </row>
    <row r="16" spans="1:11" x14ac:dyDescent="0.25">
      <c r="A16" s="6" t="s">
        <v>1</v>
      </c>
      <c r="B16" s="7">
        <v>12</v>
      </c>
      <c r="C16" s="7" t="str">
        <f t="shared" si="0"/>
        <v>GW1-12</v>
      </c>
      <c r="D16" s="1" t="str">
        <f>IFERROR(VLOOKUP(E16,[1]FINAL!$A$2:$J$699,MATCH("Pos",[1]FINAL!$A$1:$J$1,0),0),"")</f>
        <v/>
      </c>
      <c r="E16" s="4" t="s">
        <v>57</v>
      </c>
      <c r="F16" s="2" t="str">
        <f t="shared" si="1"/>
        <v/>
      </c>
      <c r="G16" s="2" t="str">
        <f>IFERROR(VLOOKUP(E16,[1]FINAL!$A$2:$M$699,MATCH("Team",[1]FINAL!$A$1:$K$1,0),0),"")</f>
        <v/>
      </c>
    </row>
    <row r="17" spans="1:7" x14ac:dyDescent="0.25">
      <c r="A17" s="6" t="s">
        <v>1</v>
      </c>
      <c r="B17" s="7">
        <v>13</v>
      </c>
      <c r="C17" s="7" t="str">
        <f t="shared" si="0"/>
        <v>GW1-13</v>
      </c>
      <c r="D17" s="1" t="str">
        <f>IFERROR(VLOOKUP(E17,[1]FINAL!$A$2:$J$699,MATCH("Pos",[1]FINAL!$A$1:$J$1,0),0),"")</f>
        <v/>
      </c>
      <c r="E17" s="4" t="s">
        <v>57</v>
      </c>
      <c r="F17" s="2" t="str">
        <f t="shared" si="1"/>
        <v/>
      </c>
      <c r="G17" s="2" t="str">
        <f>IFERROR(VLOOKUP(E17,[1]FINAL!$A$2:$M$699,MATCH("Team",[1]FINAL!$A$1:$K$1,0),0),"")</f>
        <v/>
      </c>
    </row>
    <row r="18" spans="1:7" x14ac:dyDescent="0.25">
      <c r="A18" s="6" t="s">
        <v>1</v>
      </c>
      <c r="B18" s="7">
        <v>14</v>
      </c>
      <c r="C18" s="7" t="str">
        <f t="shared" si="0"/>
        <v>GW1-14</v>
      </c>
      <c r="D18" s="1" t="str">
        <f>IFERROR(VLOOKUP(E18,[1]FINAL!$A$2:$J$699,MATCH("Pos",[1]FINAL!$A$1:$J$1,0),0),"")</f>
        <v/>
      </c>
      <c r="E18" s="4" t="s">
        <v>57</v>
      </c>
      <c r="F18" s="2" t="str">
        <f t="shared" si="1"/>
        <v/>
      </c>
      <c r="G18" s="2" t="str">
        <f>IFERROR(VLOOKUP(E18,[1]FINAL!$A$2:$M$699,MATCH("Team",[1]FINAL!$A$1:$K$1,0),0),"")</f>
        <v/>
      </c>
    </row>
    <row r="19" spans="1:7" x14ac:dyDescent="0.25">
      <c r="A19" s="6" t="s">
        <v>1</v>
      </c>
      <c r="B19" s="7">
        <v>15</v>
      </c>
      <c r="C19" s="7" t="str">
        <f t="shared" si="0"/>
        <v>GW1-15</v>
      </c>
      <c r="D19" s="1" t="str">
        <f>IFERROR(VLOOKUP(E19,[1]FINAL!$A$2:$J$699,MATCH("Pos",[1]FINAL!$A$1:$J$1,0),0),"")</f>
        <v/>
      </c>
      <c r="E19" s="4" t="s">
        <v>57</v>
      </c>
      <c r="F19" s="2" t="str">
        <f t="shared" si="1"/>
        <v/>
      </c>
      <c r="G19" s="2" t="str">
        <f>IFERROR(VLOOKUP(E19,[1]FINAL!$A$2:$M$699,MATCH("Team",[1]FINAL!$A$1:$K$1,0),0),"")</f>
        <v/>
      </c>
    </row>
    <row r="20" spans="1:7" x14ac:dyDescent="0.25">
      <c r="D20" s="1"/>
      <c r="F20" s="2"/>
      <c r="G20" s="2"/>
    </row>
    <row r="22" spans="1:7" x14ac:dyDescent="0.25">
      <c r="A22" s="6" t="s">
        <v>2</v>
      </c>
      <c r="B22" s="7">
        <v>1</v>
      </c>
      <c r="C22" s="7" t="str">
        <f>A22&amp;-B22</f>
        <v>GW2-1</v>
      </c>
      <c r="D22" s="1" t="str">
        <f>IFERROR(VLOOKUP(E22,[1]FINAL!$A$2:$J$699,MATCH("Pos",[1]FINAL!$A$1:$J$1,0),0),"")</f>
        <v/>
      </c>
      <c r="E22" s="4" t="str">
        <f>IFERROR(VLOOKUP($A22&amp;$E5,DATA!$F$1:$G$500,MATCH("FULL IN",DATA!$F$1:$G$1,0),0),$E5)</f>
        <v>Player Name</v>
      </c>
      <c r="G22" s="2" t="str">
        <f>IFERROR(VLOOKUP(E22,[1]FINAL!$A$2:$M$699,MATCH("Team",[1]FINAL!$A$1:$K$1,0),0),"")</f>
        <v/>
      </c>
    </row>
    <row r="23" spans="1:7" x14ac:dyDescent="0.25">
      <c r="A23" s="6" t="s">
        <v>2</v>
      </c>
      <c r="B23" s="7">
        <v>2</v>
      </c>
      <c r="C23" s="7" t="str">
        <f t="shared" ref="C23:C36" si="2">A23&amp;-B23</f>
        <v>GW2-2</v>
      </c>
      <c r="D23" s="1" t="str">
        <f>IFERROR(VLOOKUP(E23,[1]FINAL!$A$2:$J$699,MATCH("Pos",[1]FINAL!$A$1:$J$1,0),0),"")</f>
        <v/>
      </c>
      <c r="E23" s="4" t="str">
        <f>IFERROR(VLOOKUP($A23&amp;$E6,DATA!$F$1:$G$500,MATCH("FULL IN",DATA!$F$1:$G$1,0),0),$E6)</f>
        <v/>
      </c>
      <c r="F23" s="2" t="str">
        <f>IF(Z23="","","IN")</f>
        <v/>
      </c>
      <c r="G23" s="2" t="str">
        <f>IFERROR(VLOOKUP(E23,[1]FINAL!$A$2:$M$699,MATCH("Team",[1]FINAL!$A$1:$K$1,0),0),"")</f>
        <v/>
      </c>
    </row>
    <row r="24" spans="1:7" x14ac:dyDescent="0.25">
      <c r="A24" s="6" t="s">
        <v>2</v>
      </c>
      <c r="B24" s="7">
        <v>3</v>
      </c>
      <c r="C24" s="7" t="str">
        <f t="shared" si="2"/>
        <v>GW2-3</v>
      </c>
      <c r="D24" s="1" t="str">
        <f>IFERROR(VLOOKUP(E24,[1]FINAL!$A$2:$J$699,MATCH("Pos",[1]FINAL!$A$1:$J$1,0),0),"")</f>
        <v/>
      </c>
      <c r="E24" s="4" t="str">
        <f>IFERROR(VLOOKUP($A24&amp;$E7,DATA!$F$1:$G$500,MATCH("FULL IN",DATA!$F$1:$G$1,0),0),$E7)</f>
        <v/>
      </c>
      <c r="F24" s="2" t="str">
        <f t="shared" ref="F24:F37" si="3">IF(Z24="","","IN")</f>
        <v/>
      </c>
      <c r="G24" s="2" t="str">
        <f>IFERROR(VLOOKUP(E24,[1]FINAL!$A$2:$M$699,MATCH("Team",[1]FINAL!$A$1:$K$1,0),0),"")</f>
        <v/>
      </c>
    </row>
    <row r="25" spans="1:7" x14ac:dyDescent="0.25">
      <c r="A25" s="6" t="s">
        <v>2</v>
      </c>
      <c r="B25" s="7">
        <v>4</v>
      </c>
      <c r="C25" s="7" t="str">
        <f t="shared" si="2"/>
        <v>GW2-4</v>
      </c>
      <c r="D25" s="1" t="str">
        <f>IFERROR(VLOOKUP(E25,[1]FINAL!$A$2:$J$699,MATCH("Pos",[1]FINAL!$A$1:$J$1,0),0),"")</f>
        <v/>
      </c>
      <c r="E25" s="4" t="str">
        <f>IFERROR(VLOOKUP($A25&amp;$E8,DATA!$F$1:$G$500,MATCH("FULL IN",DATA!$F$1:$G$1,0),0),$E8)</f>
        <v/>
      </c>
      <c r="F25" s="2" t="str">
        <f t="shared" si="3"/>
        <v/>
      </c>
      <c r="G25" s="2" t="str">
        <f>IFERROR(VLOOKUP(E25,[1]FINAL!$A$2:$M$699,MATCH("Team",[1]FINAL!$A$1:$K$1,0),0),"")</f>
        <v/>
      </c>
    </row>
    <row r="26" spans="1:7" x14ac:dyDescent="0.25">
      <c r="A26" s="6" t="s">
        <v>2</v>
      </c>
      <c r="B26" s="7">
        <v>5</v>
      </c>
      <c r="C26" s="7" t="str">
        <f t="shared" si="2"/>
        <v>GW2-5</v>
      </c>
      <c r="D26" s="1" t="str">
        <f>IFERROR(VLOOKUP(E26,[1]FINAL!$A$2:$J$699,MATCH("Pos",[1]FINAL!$A$1:$J$1,0),0),"")</f>
        <v/>
      </c>
      <c r="E26" s="4" t="str">
        <f>IFERROR(VLOOKUP($A26&amp;$E9,DATA!$F$1:$G$500,MATCH("FULL IN",DATA!$F$1:$G$1,0),0),$E9)</f>
        <v/>
      </c>
      <c r="F26" s="2" t="str">
        <f t="shared" si="3"/>
        <v/>
      </c>
      <c r="G26" s="2" t="str">
        <f>IFERROR(VLOOKUP(E26,[1]FINAL!$A$2:$M$699,MATCH("Team",[1]FINAL!$A$1:$K$1,0),0),"")</f>
        <v/>
      </c>
    </row>
    <row r="27" spans="1:7" x14ac:dyDescent="0.25">
      <c r="A27" s="6" t="s">
        <v>2</v>
      </c>
      <c r="B27" s="7">
        <v>6</v>
      </c>
      <c r="C27" s="7" t="str">
        <f t="shared" si="2"/>
        <v>GW2-6</v>
      </c>
      <c r="D27" s="1" t="str">
        <f>IFERROR(VLOOKUP(E27,[1]FINAL!$A$2:$J$699,MATCH("Pos",[1]FINAL!$A$1:$J$1,0),0),"")</f>
        <v/>
      </c>
      <c r="E27" s="4" t="str">
        <f>IFERROR(VLOOKUP($A27&amp;$E10,DATA!$F$1:$G$500,MATCH("FULL IN",DATA!$F$1:$G$1,0),0),$E10)</f>
        <v/>
      </c>
      <c r="F27" s="2" t="str">
        <f t="shared" si="3"/>
        <v/>
      </c>
      <c r="G27" s="2" t="str">
        <f>IFERROR(VLOOKUP(E27,[1]FINAL!$A$2:$M$699,MATCH("Team",[1]FINAL!$A$1:$K$1,0),0),"")</f>
        <v/>
      </c>
    </row>
    <row r="28" spans="1:7" x14ac:dyDescent="0.25">
      <c r="A28" s="6" t="s">
        <v>2</v>
      </c>
      <c r="B28" s="7">
        <v>7</v>
      </c>
      <c r="C28" s="7" t="str">
        <f t="shared" si="2"/>
        <v>GW2-7</v>
      </c>
      <c r="D28" s="1" t="str">
        <f>IFERROR(VLOOKUP(E28,[1]FINAL!$A$2:$J$699,MATCH("Pos",[1]FINAL!$A$1:$J$1,0),0),"")</f>
        <v/>
      </c>
      <c r="E28" s="4" t="str">
        <f>IFERROR(VLOOKUP($A28&amp;$E11,DATA!$F$1:$G$500,MATCH("FULL IN",DATA!$F$1:$G$1,0),0),$E11)</f>
        <v/>
      </c>
      <c r="F28" s="2" t="str">
        <f t="shared" si="3"/>
        <v/>
      </c>
      <c r="G28" s="2" t="str">
        <f>IFERROR(VLOOKUP(E28,[1]FINAL!$A$2:$M$699,MATCH("Team",[1]FINAL!$A$1:$K$1,0),0),"")</f>
        <v/>
      </c>
    </row>
    <row r="29" spans="1:7" x14ac:dyDescent="0.25">
      <c r="A29" s="6" t="s">
        <v>2</v>
      </c>
      <c r="B29" s="7">
        <v>8</v>
      </c>
      <c r="C29" s="7" t="str">
        <f t="shared" si="2"/>
        <v>GW2-8</v>
      </c>
      <c r="D29" s="1" t="str">
        <f>IFERROR(VLOOKUP(E29,[1]FINAL!$A$2:$J$699,MATCH("Pos",[1]FINAL!$A$1:$J$1,0),0),"")</f>
        <v/>
      </c>
      <c r="E29" s="4" t="str">
        <f>IFERROR(VLOOKUP($A29&amp;$E12,DATA!$F$1:$G$500,MATCH("FULL IN",DATA!$F$1:$G$1,0),0),$E12)</f>
        <v/>
      </c>
      <c r="F29" s="2" t="str">
        <f t="shared" si="3"/>
        <v/>
      </c>
      <c r="G29" s="2" t="str">
        <f>IFERROR(VLOOKUP(E29,[1]FINAL!$A$2:$M$699,MATCH("Team",[1]FINAL!$A$1:$K$1,0),0),"")</f>
        <v/>
      </c>
    </row>
    <row r="30" spans="1:7" x14ac:dyDescent="0.25">
      <c r="A30" s="6" t="s">
        <v>2</v>
      </c>
      <c r="B30" s="7">
        <v>9</v>
      </c>
      <c r="C30" s="7" t="str">
        <f t="shared" si="2"/>
        <v>GW2-9</v>
      </c>
      <c r="D30" s="1" t="str">
        <f>IFERROR(VLOOKUP(E30,[1]FINAL!$A$2:$J$699,MATCH("Pos",[1]FINAL!$A$1:$J$1,0),0),"")</f>
        <v/>
      </c>
      <c r="E30" s="4" t="str">
        <f>IFERROR(VLOOKUP($A30&amp;$E13,DATA!$F$1:$G$500,MATCH("FULL IN",DATA!$F$1:$G$1,0),0),$E13)</f>
        <v/>
      </c>
      <c r="F30" s="2" t="str">
        <f t="shared" si="3"/>
        <v/>
      </c>
      <c r="G30" s="2" t="str">
        <f>IFERROR(VLOOKUP(E30,[1]FINAL!$A$2:$M$699,MATCH("Team",[1]FINAL!$A$1:$K$1,0),0),"")</f>
        <v/>
      </c>
    </row>
    <row r="31" spans="1:7" x14ac:dyDescent="0.25">
      <c r="A31" s="6" t="s">
        <v>2</v>
      </c>
      <c r="B31" s="7">
        <v>10</v>
      </c>
      <c r="C31" s="7" t="str">
        <f t="shared" si="2"/>
        <v>GW2-10</v>
      </c>
      <c r="D31" s="1" t="str">
        <f>IFERROR(VLOOKUP(E31,[1]FINAL!$A$2:$J$699,MATCH("Pos",[1]FINAL!$A$1:$J$1,0),0),"")</f>
        <v/>
      </c>
      <c r="E31" s="4" t="str">
        <f>IFERROR(VLOOKUP($A31&amp;$E14,DATA!$F$1:$G$500,MATCH("FULL IN",DATA!$F$1:$G$1,0),0),$E14)</f>
        <v/>
      </c>
      <c r="F31" s="2" t="str">
        <f t="shared" si="3"/>
        <v/>
      </c>
      <c r="G31" s="2" t="str">
        <f>IFERROR(VLOOKUP(E31,[1]FINAL!$A$2:$M$699,MATCH("Team",[1]FINAL!$A$1:$K$1,0),0),"")</f>
        <v/>
      </c>
    </row>
    <row r="32" spans="1:7" x14ac:dyDescent="0.25">
      <c r="A32" s="6" t="s">
        <v>2</v>
      </c>
      <c r="B32" s="7">
        <v>11</v>
      </c>
      <c r="C32" s="7" t="str">
        <f t="shared" si="2"/>
        <v>GW2-11</v>
      </c>
      <c r="D32" s="1" t="str">
        <f>IFERROR(VLOOKUP(E32,[1]FINAL!$A$2:$J$699,MATCH("Pos",[1]FINAL!$A$1:$J$1,0),0),"")</f>
        <v/>
      </c>
      <c r="E32" s="4" t="str">
        <f>IFERROR(VLOOKUP($A32&amp;$E15,DATA!$F$1:$G$500,MATCH("FULL IN",DATA!$F$1:$G$1,0),0),$E15)</f>
        <v/>
      </c>
      <c r="F32" s="2" t="str">
        <f t="shared" si="3"/>
        <v/>
      </c>
      <c r="G32" s="2" t="str">
        <f>IFERROR(VLOOKUP(E32,[1]FINAL!$A$2:$M$699,MATCH("Team",[1]FINAL!$A$1:$K$1,0),0),"")</f>
        <v/>
      </c>
    </row>
    <row r="33" spans="1:9" x14ac:dyDescent="0.25">
      <c r="A33" s="6" t="s">
        <v>2</v>
      </c>
      <c r="B33" s="7">
        <v>12</v>
      </c>
      <c r="C33" s="7" t="str">
        <f t="shared" si="2"/>
        <v>GW2-12</v>
      </c>
      <c r="D33" s="1" t="str">
        <f>IFERROR(VLOOKUP(E33,[1]FINAL!$A$2:$J$699,MATCH("Pos",[1]FINAL!$A$1:$J$1,0),0),"")</f>
        <v/>
      </c>
      <c r="E33" s="4" t="str">
        <f>IFERROR(VLOOKUP($A33&amp;$E16,DATA!$F$1:$G$500,MATCH("FULL IN",DATA!$F$1:$G$1,0),0),$E16)</f>
        <v/>
      </c>
      <c r="F33" s="2" t="str">
        <f t="shared" si="3"/>
        <v/>
      </c>
      <c r="G33" s="2" t="str">
        <f>IFERROR(VLOOKUP(E33,[1]FINAL!$A$2:$M$699,MATCH("Team",[1]FINAL!$A$1:$K$1,0),0),"")</f>
        <v/>
      </c>
    </row>
    <row r="34" spans="1:9" x14ac:dyDescent="0.25">
      <c r="A34" s="6" t="s">
        <v>2</v>
      </c>
      <c r="B34" s="7">
        <v>13</v>
      </c>
      <c r="C34" s="7" t="str">
        <f t="shared" si="2"/>
        <v>GW2-13</v>
      </c>
      <c r="D34" s="1" t="str">
        <f>IFERROR(VLOOKUP(E34,[1]FINAL!$A$2:$J$699,MATCH("Pos",[1]FINAL!$A$1:$J$1,0),0),"")</f>
        <v/>
      </c>
      <c r="E34" s="4" t="str">
        <f>IFERROR(VLOOKUP($A34&amp;$E17,DATA!$F$1:$G$500,MATCH("FULL IN",DATA!$F$1:$G$1,0),0),$E17)</f>
        <v/>
      </c>
      <c r="F34" s="2" t="str">
        <f t="shared" si="3"/>
        <v/>
      </c>
      <c r="G34" s="2" t="str">
        <f>IFERROR(VLOOKUP(E34,[1]FINAL!$A$2:$M$699,MATCH("Team",[1]FINAL!$A$1:$K$1,0),0),"")</f>
        <v/>
      </c>
    </row>
    <row r="35" spans="1:9" x14ac:dyDescent="0.25">
      <c r="A35" s="6" t="s">
        <v>2</v>
      </c>
      <c r="B35" s="7">
        <v>14</v>
      </c>
      <c r="C35" s="7" t="str">
        <f t="shared" si="2"/>
        <v>GW2-14</v>
      </c>
      <c r="D35" s="1" t="str">
        <f>IFERROR(VLOOKUP(E35,[1]FINAL!$A$2:$J$699,MATCH("Pos",[1]FINAL!$A$1:$J$1,0),0),"")</f>
        <v/>
      </c>
      <c r="E35" s="4" t="str">
        <f>IFERROR(VLOOKUP($A35&amp;$E18,DATA!$F$1:$G$500,MATCH("FULL IN",DATA!$F$1:$G$1,0),0),$E18)</f>
        <v/>
      </c>
      <c r="F35" s="2" t="str">
        <f t="shared" si="3"/>
        <v/>
      </c>
      <c r="G35" s="2" t="str">
        <f>IFERROR(VLOOKUP(E35,[1]FINAL!$A$2:$M$699,MATCH("Team",[1]FINAL!$A$1:$K$1,0),0),"")</f>
        <v/>
      </c>
    </row>
    <row r="36" spans="1:9" x14ac:dyDescent="0.25">
      <c r="A36" s="6" t="s">
        <v>2</v>
      </c>
      <c r="B36" s="7">
        <v>15</v>
      </c>
      <c r="C36" s="7" t="str">
        <f t="shared" si="2"/>
        <v>GW2-15</v>
      </c>
      <c r="D36" s="1" t="str">
        <f>IFERROR(VLOOKUP(E36,[1]FINAL!$A$2:$J$699,MATCH("Pos",[1]FINAL!$A$1:$J$1,0),0),"")</f>
        <v/>
      </c>
      <c r="E36" s="4" t="str">
        <f>IFERROR(VLOOKUP($A36&amp;$E19,DATA!$F$1:$G$500,MATCH("FULL IN",DATA!$F$1:$G$1,0),0),$E19)</f>
        <v/>
      </c>
      <c r="F36" s="2" t="str">
        <f t="shared" si="3"/>
        <v/>
      </c>
      <c r="G36" s="2" t="str">
        <f>IFERROR(VLOOKUP(E36,[1]FINAL!$A$2:$M$699,MATCH("Team",[1]FINAL!$A$1:$K$1,0),0),"")</f>
        <v/>
      </c>
    </row>
    <row r="37" spans="1:9" x14ac:dyDescent="0.25">
      <c r="D37" s="1" t="str">
        <f>IFERROR(VLOOKUP(E37,[1]FINAL!$A$2:$J$699,MATCH("Pos",[1]FINAL!$A$1:$J$1,0),0),"")</f>
        <v/>
      </c>
      <c r="E37" s="4" t="str">
        <f>IFERROR(VLOOKUP($A37&amp;$E21,DATA!$F$1:$G$500,MATCH("FULL IN",DATA!$F$1:$G$1,0),0),$E21)</f>
        <v/>
      </c>
      <c r="F37" s="2" t="str">
        <f t="shared" si="3"/>
        <v/>
      </c>
      <c r="G37" s="2" t="str">
        <f>IFERROR(VLOOKUP(E37,[1]FINAL!$A$2:$M$699,MATCH("Team",[1]FINAL!$A$1:$K$1,0),0),"")</f>
        <v/>
      </c>
    </row>
    <row r="39" spans="1:9" x14ac:dyDescent="0.25">
      <c r="A39" s="6" t="s">
        <v>3</v>
      </c>
      <c r="B39" s="7">
        <v>1</v>
      </c>
      <c r="C39" s="7" t="str">
        <f>A39&amp;-B39</f>
        <v>GW3-1</v>
      </c>
      <c r="D39" s="1" t="str">
        <f>IFERROR(VLOOKUP(E39,[1]FINAL!$A$2:$J$699,MATCH("Pos",[1]FINAL!$A$1:$J$1,0),0),"")</f>
        <v/>
      </c>
      <c r="E39" s="4" t="str">
        <f>IFERROR(VLOOKUP($A39&amp;$E22,DATA!$F$1:$G$500,MATCH("FULL IN",DATA!$F$1:$G$1,0),0),$E22)</f>
        <v>Player Name</v>
      </c>
      <c r="G39" s="2" t="str">
        <f>IFERROR(VLOOKUP(E39,[1]FINAL!$A$2:$M$699,MATCH("Team",[1]FINAL!$A$1:$K$1,0),0),"")</f>
        <v/>
      </c>
      <c r="I39" s="4" t="str">
        <f>IFERROR(VLOOKUP($A39&amp;$E22,DATA!$F$1:$H$500,MATCH("FULL OUT",DATA!$F$1:$H$1,0),0),"")</f>
        <v/>
      </c>
    </row>
    <row r="40" spans="1:9" x14ac:dyDescent="0.25">
      <c r="A40" s="6" t="str">
        <f>A39</f>
        <v>GW3</v>
      </c>
      <c r="B40" s="7">
        <v>2</v>
      </c>
      <c r="C40" s="7" t="str">
        <f t="shared" ref="C40:C53" si="4">A40&amp;-B40</f>
        <v>GW3-2</v>
      </c>
      <c r="D40" s="1" t="str">
        <f>IFERROR(VLOOKUP(E40,[1]FINAL!$A$2:$J$699,MATCH("Pos",[1]FINAL!$A$1:$J$1,0),0),"")</f>
        <v/>
      </c>
      <c r="E40" s="4" t="str">
        <f>IFERROR(VLOOKUP($A40&amp;$E23,DATA!$F$1:$G$500,MATCH("FULL IN",DATA!$F$1:$G$1,0),0),$E23)</f>
        <v/>
      </c>
      <c r="F40" s="2" t="str">
        <f>IF(Z40="","","IN")</f>
        <v/>
      </c>
      <c r="G40" s="2" t="str">
        <f>IFERROR(VLOOKUP(E40,[1]FINAL!$A$2:$M$699,MATCH("Team",[1]FINAL!$A$1:$K$1,0),0),"")</f>
        <v/>
      </c>
      <c r="I40" s="4" t="str">
        <f>IFERROR(VLOOKUP($A40&amp;$E23,DATA!$F$1:$H$500,MATCH("FULL OUT",DATA!$F$1:$H$1,0),0),"")</f>
        <v/>
      </c>
    </row>
    <row r="41" spans="1:9" x14ac:dyDescent="0.25">
      <c r="A41" s="6" t="str">
        <f t="shared" ref="A41:A53" si="5">A40</f>
        <v>GW3</v>
      </c>
      <c r="B41" s="7">
        <v>3</v>
      </c>
      <c r="C41" s="7" t="str">
        <f t="shared" si="4"/>
        <v>GW3-3</v>
      </c>
      <c r="D41" s="1" t="str">
        <f>IFERROR(VLOOKUP(E41,[1]FINAL!$A$2:$J$699,MATCH("Pos",[1]FINAL!$A$1:$J$1,0),0),"")</f>
        <v/>
      </c>
      <c r="E41" s="4" t="str">
        <f>IFERROR(VLOOKUP($A41&amp;$E24,DATA!$F$1:$G$500,MATCH("FULL IN",DATA!$F$1:$G$1,0),0),$E24)</f>
        <v/>
      </c>
      <c r="F41" s="2" t="str">
        <f t="shared" ref="F41:F53" si="6">IF(Z41="","","IN")</f>
        <v/>
      </c>
      <c r="G41" s="2" t="str">
        <f>IFERROR(VLOOKUP(E41,[1]FINAL!$A$2:$M$699,MATCH("Team",[1]FINAL!$A$1:$K$1,0),0),"")</f>
        <v/>
      </c>
      <c r="I41" s="4" t="str">
        <f>IFERROR(VLOOKUP($A41&amp;$E24,DATA!$F$1:$H$500,MATCH("FULL OUT",DATA!$F$1:$H$1,0),0),"")</f>
        <v/>
      </c>
    </row>
    <row r="42" spans="1:9" x14ac:dyDescent="0.25">
      <c r="A42" s="6" t="str">
        <f t="shared" si="5"/>
        <v>GW3</v>
      </c>
      <c r="B42" s="7">
        <v>4</v>
      </c>
      <c r="C42" s="7" t="str">
        <f t="shared" si="4"/>
        <v>GW3-4</v>
      </c>
      <c r="D42" s="1" t="str">
        <f>IFERROR(VLOOKUP(E42,[1]FINAL!$A$2:$J$699,MATCH("Pos",[1]FINAL!$A$1:$J$1,0),0),"")</f>
        <v/>
      </c>
      <c r="E42" s="4" t="str">
        <f>IFERROR(VLOOKUP($A42&amp;$E25,DATA!$F$1:$G$500,MATCH("FULL IN",DATA!$F$1:$G$1,0),0),$E25)</f>
        <v/>
      </c>
      <c r="F42" s="2" t="str">
        <f t="shared" si="6"/>
        <v/>
      </c>
      <c r="G42" s="2" t="str">
        <f>IFERROR(VLOOKUP(E42,[1]FINAL!$A$2:$M$699,MATCH("Team",[1]FINAL!$A$1:$K$1,0),0),"")</f>
        <v/>
      </c>
      <c r="I42" s="4" t="str">
        <f>IFERROR(VLOOKUP($A42&amp;$E25,DATA!$F$1:$H$500,MATCH("FULL OUT",DATA!$F$1:$H$1,0),0),"")</f>
        <v/>
      </c>
    </row>
    <row r="43" spans="1:9" x14ac:dyDescent="0.25">
      <c r="A43" s="6" t="str">
        <f t="shared" si="5"/>
        <v>GW3</v>
      </c>
      <c r="B43" s="7">
        <v>5</v>
      </c>
      <c r="C43" s="7" t="str">
        <f t="shared" si="4"/>
        <v>GW3-5</v>
      </c>
      <c r="D43" s="1" t="str">
        <f>IFERROR(VLOOKUP(E43,[1]FINAL!$A$2:$J$699,MATCH("Pos",[1]FINAL!$A$1:$J$1,0),0),"")</f>
        <v/>
      </c>
      <c r="E43" s="4" t="str">
        <f>IFERROR(VLOOKUP($A43&amp;$E26,DATA!$F$1:$G$500,MATCH("FULL IN",DATA!$F$1:$G$1,0),0),$E26)</f>
        <v/>
      </c>
      <c r="F43" s="2" t="str">
        <f t="shared" si="6"/>
        <v/>
      </c>
      <c r="G43" s="2" t="str">
        <f>IFERROR(VLOOKUP(E43,[1]FINAL!$A$2:$M$699,MATCH("Team",[1]FINAL!$A$1:$K$1,0),0),"")</f>
        <v/>
      </c>
    </row>
    <row r="44" spans="1:9" x14ac:dyDescent="0.25">
      <c r="A44" s="6" t="str">
        <f t="shared" si="5"/>
        <v>GW3</v>
      </c>
      <c r="B44" s="7">
        <v>6</v>
      </c>
      <c r="C44" s="7" t="str">
        <f t="shared" si="4"/>
        <v>GW3-6</v>
      </c>
      <c r="D44" s="1" t="str">
        <f>IFERROR(VLOOKUP(E44,[1]FINAL!$A$2:$J$699,MATCH("Pos",[1]FINAL!$A$1:$J$1,0),0),"")</f>
        <v/>
      </c>
      <c r="E44" s="4" t="str">
        <f>IFERROR(VLOOKUP($A44&amp;$E27,DATA!$F$1:$G$500,MATCH("FULL IN",DATA!$F$1:$G$1,0),0),$E27)</f>
        <v/>
      </c>
      <c r="F44" s="2" t="str">
        <f t="shared" si="6"/>
        <v/>
      </c>
      <c r="G44" s="2" t="str">
        <f>IFERROR(VLOOKUP(E44,[1]FINAL!$A$2:$M$699,MATCH("Team",[1]FINAL!$A$1:$K$1,0),0),"")</f>
        <v/>
      </c>
      <c r="I44" s="4" t="str">
        <f>IFERROR(VLOOKUP($A44&amp;$E27,DATA!$F$1:$H$500,MATCH("FULL OUT",DATA!$F$1:$H$1,0),0),"")</f>
        <v/>
      </c>
    </row>
    <row r="45" spans="1:9" x14ac:dyDescent="0.25">
      <c r="A45" s="6" t="str">
        <f t="shared" si="5"/>
        <v>GW3</v>
      </c>
      <c r="B45" s="7">
        <v>7</v>
      </c>
      <c r="C45" s="7" t="str">
        <f t="shared" si="4"/>
        <v>GW3-7</v>
      </c>
      <c r="D45" s="1" t="str">
        <f>IFERROR(VLOOKUP(E45,[1]FINAL!$A$2:$J$699,MATCH("Pos",[1]FINAL!$A$1:$J$1,0),0),"")</f>
        <v/>
      </c>
      <c r="E45" s="4" t="str">
        <f>IFERROR(VLOOKUP($A45&amp;$E28,DATA!$F$1:$G$500,MATCH("FULL IN",DATA!$F$1:$G$1,0),0),$E28)</f>
        <v/>
      </c>
      <c r="F45" s="2" t="str">
        <f t="shared" si="6"/>
        <v/>
      </c>
      <c r="G45" s="2" t="str">
        <f>IFERROR(VLOOKUP(E45,[1]FINAL!$A$2:$M$699,MATCH("Team",[1]FINAL!$A$1:$K$1,0),0),"")</f>
        <v/>
      </c>
      <c r="I45" s="4" t="str">
        <f>IFERROR(VLOOKUP($A45&amp;$E28,DATA!$F$1:$H$500,MATCH("FULL OUT",DATA!$F$1:$H$1,0),0),"")</f>
        <v/>
      </c>
    </row>
    <row r="46" spans="1:9" x14ac:dyDescent="0.25">
      <c r="A46" s="6" t="str">
        <f t="shared" si="5"/>
        <v>GW3</v>
      </c>
      <c r="B46" s="7">
        <v>8</v>
      </c>
      <c r="C46" s="7" t="str">
        <f t="shared" si="4"/>
        <v>GW3-8</v>
      </c>
      <c r="D46" s="1" t="str">
        <f>IFERROR(VLOOKUP(E46,[1]FINAL!$A$2:$J$699,MATCH("Pos",[1]FINAL!$A$1:$J$1,0),0),"")</f>
        <v/>
      </c>
      <c r="E46" s="4" t="str">
        <f>IFERROR(VLOOKUP($A46&amp;$E29,DATA!$F$1:$G$500,MATCH("FULL IN",DATA!$F$1:$G$1,0),0),$E29)</f>
        <v/>
      </c>
      <c r="F46" s="2" t="str">
        <f t="shared" si="6"/>
        <v/>
      </c>
      <c r="G46" s="2" t="str">
        <f>IFERROR(VLOOKUP(E46,[1]FINAL!$A$2:$M$699,MATCH("Team",[1]FINAL!$A$1:$K$1,0),0),"")</f>
        <v/>
      </c>
      <c r="I46" s="4" t="str">
        <f>IFERROR(VLOOKUP($A46&amp;$E29,DATA!$F$1:$H$500,MATCH("FULL OUT",DATA!$F$1:$H$1,0),0),"")</f>
        <v/>
      </c>
    </row>
    <row r="47" spans="1:9" x14ac:dyDescent="0.25">
      <c r="A47" s="6" t="str">
        <f t="shared" si="5"/>
        <v>GW3</v>
      </c>
      <c r="B47" s="7">
        <v>9</v>
      </c>
      <c r="C47" s="7" t="str">
        <f t="shared" si="4"/>
        <v>GW3-9</v>
      </c>
      <c r="D47" s="1" t="str">
        <f>IFERROR(VLOOKUP(E47,[1]FINAL!$A$2:$J$699,MATCH("Pos",[1]FINAL!$A$1:$J$1,0),0),"")</f>
        <v/>
      </c>
      <c r="E47" s="4" t="str">
        <f>IFERROR(VLOOKUP($A47&amp;$E30,DATA!$F$1:$G$500,MATCH("FULL IN",DATA!$F$1:$G$1,0),0),$E30)</f>
        <v/>
      </c>
      <c r="F47" s="2" t="str">
        <f t="shared" si="6"/>
        <v/>
      </c>
      <c r="G47" s="2" t="str">
        <f>IFERROR(VLOOKUP(E47,[1]FINAL!$A$2:$M$699,MATCH("Team",[1]FINAL!$A$1:$K$1,0),0),"")</f>
        <v/>
      </c>
      <c r="I47" s="4" t="str">
        <f>IFERROR(VLOOKUP($A47&amp;$E30,DATA!$F$1:$H$500,MATCH("FULL OUT",DATA!$F$1:$H$1,0),0),"")</f>
        <v/>
      </c>
    </row>
    <row r="48" spans="1:9" x14ac:dyDescent="0.25">
      <c r="A48" s="6" t="str">
        <f t="shared" si="5"/>
        <v>GW3</v>
      </c>
      <c r="B48" s="7">
        <v>10</v>
      </c>
      <c r="C48" s="7" t="str">
        <f t="shared" si="4"/>
        <v>GW3-10</v>
      </c>
      <c r="D48" s="1" t="str">
        <f>IFERROR(VLOOKUP(E48,[1]FINAL!$A$2:$J$699,MATCH("Pos",[1]FINAL!$A$1:$J$1,0),0),"")</f>
        <v/>
      </c>
      <c r="E48" s="4" t="str">
        <f>IFERROR(VLOOKUP($A48&amp;$E31,DATA!$F$1:$G$500,MATCH("FULL IN",DATA!$F$1:$G$1,0),0),$E31)</f>
        <v/>
      </c>
      <c r="F48" s="2" t="str">
        <f t="shared" si="6"/>
        <v/>
      </c>
      <c r="G48" s="2" t="str">
        <f>IFERROR(VLOOKUP(E48,[1]FINAL!$A$2:$M$699,MATCH("Team",[1]FINAL!$A$1:$K$1,0),0),"")</f>
        <v/>
      </c>
      <c r="I48" s="4" t="str">
        <f>IFERROR(VLOOKUP($A48&amp;$E31,DATA!$F$1:$H$500,MATCH("FULL OUT",DATA!$F$1:$H$1,0),0),"")</f>
        <v/>
      </c>
    </row>
    <row r="49" spans="1:9" x14ac:dyDescent="0.25">
      <c r="A49" s="6" t="str">
        <f t="shared" si="5"/>
        <v>GW3</v>
      </c>
      <c r="B49" s="7">
        <v>11</v>
      </c>
      <c r="C49" s="7" t="str">
        <f t="shared" si="4"/>
        <v>GW3-11</v>
      </c>
      <c r="D49" s="1" t="str">
        <f>IFERROR(VLOOKUP(E49,[1]FINAL!$A$2:$J$699,MATCH("Pos",[1]FINAL!$A$1:$J$1,0),0),"")</f>
        <v/>
      </c>
      <c r="E49" s="4" t="str">
        <f>IFERROR(VLOOKUP($A49&amp;$E32,DATA!$F$1:$G$500,MATCH("FULL IN",DATA!$F$1:$G$1,0),0),$E32)</f>
        <v/>
      </c>
      <c r="F49" s="2" t="str">
        <f t="shared" si="6"/>
        <v/>
      </c>
      <c r="G49" s="2" t="str">
        <f>IFERROR(VLOOKUP(E49,[1]FINAL!$A$2:$M$699,MATCH("Team",[1]FINAL!$A$1:$K$1,0),0),"")</f>
        <v/>
      </c>
      <c r="I49" s="4" t="str">
        <f>IFERROR(VLOOKUP($A49&amp;$E32,DATA!$F$1:$H$500,MATCH("FULL OUT",DATA!$F$1:$H$1,0),0),"")</f>
        <v/>
      </c>
    </row>
    <row r="50" spans="1:9" x14ac:dyDescent="0.25">
      <c r="A50" s="6" t="str">
        <f t="shared" si="5"/>
        <v>GW3</v>
      </c>
      <c r="B50" s="7">
        <v>12</v>
      </c>
      <c r="C50" s="7" t="str">
        <f t="shared" si="4"/>
        <v>GW3-12</v>
      </c>
      <c r="D50" s="1" t="str">
        <f>IFERROR(VLOOKUP(E50,[1]FINAL!$A$2:$J$699,MATCH("Pos",[1]FINAL!$A$1:$J$1,0),0),"")</f>
        <v/>
      </c>
      <c r="E50" s="4" t="str">
        <f>IFERROR(VLOOKUP($A50&amp;$E33,DATA!$F$1:$G$500,MATCH("FULL IN",DATA!$F$1:$G$1,0),0),$E33)</f>
        <v/>
      </c>
      <c r="F50" s="2" t="str">
        <f t="shared" si="6"/>
        <v/>
      </c>
      <c r="G50" s="2" t="str">
        <f>IFERROR(VLOOKUP(E50,[1]FINAL!$A$2:$M$699,MATCH("Team",[1]FINAL!$A$1:$K$1,0),0),"")</f>
        <v/>
      </c>
      <c r="I50" s="4" t="str">
        <f>IFERROR(VLOOKUP($A50&amp;$E33,DATA!$F$1:$H$500,MATCH("FULL OUT",DATA!$F$1:$H$1,0),0),"")</f>
        <v/>
      </c>
    </row>
    <row r="51" spans="1:9" x14ac:dyDescent="0.25">
      <c r="A51" s="6" t="str">
        <f t="shared" si="5"/>
        <v>GW3</v>
      </c>
      <c r="B51" s="7">
        <v>13</v>
      </c>
      <c r="C51" s="7" t="str">
        <f t="shared" si="4"/>
        <v>GW3-13</v>
      </c>
      <c r="D51" s="1" t="str">
        <f>IFERROR(VLOOKUP(E51,[1]FINAL!$A$2:$J$699,MATCH("Pos",[1]FINAL!$A$1:$J$1,0),0),"")</f>
        <v/>
      </c>
      <c r="E51" s="4" t="str">
        <f>IFERROR(VLOOKUP($A51&amp;$E34,DATA!$F$1:$G$500,MATCH("FULL IN",DATA!$F$1:$G$1,0),0),$E34)</f>
        <v/>
      </c>
      <c r="F51" s="2" t="str">
        <f t="shared" si="6"/>
        <v/>
      </c>
      <c r="G51" s="2" t="str">
        <f>IFERROR(VLOOKUP(E51,[1]FINAL!$A$2:$M$699,MATCH("Team",[1]FINAL!$A$1:$K$1,0),0),"")</f>
        <v/>
      </c>
      <c r="I51" s="4" t="str">
        <f>IFERROR(VLOOKUP($A51&amp;$E34,DATA!$F$1:$H$500,MATCH("FULL OUT",DATA!$F$1:$H$1,0),0),"")</f>
        <v/>
      </c>
    </row>
    <row r="52" spans="1:9" x14ac:dyDescent="0.25">
      <c r="A52" s="6" t="str">
        <f t="shared" si="5"/>
        <v>GW3</v>
      </c>
      <c r="B52" s="7">
        <v>14</v>
      </c>
      <c r="C52" s="7" t="str">
        <f t="shared" si="4"/>
        <v>GW3-14</v>
      </c>
      <c r="D52" s="1" t="str">
        <f>IFERROR(VLOOKUP(E52,[1]FINAL!$A$2:$J$699,MATCH("Pos",[1]FINAL!$A$1:$J$1,0),0),"")</f>
        <v/>
      </c>
      <c r="E52" s="4" t="str">
        <f>IFERROR(VLOOKUP($A52&amp;$E35,DATA!$F$1:$G$500,MATCH("FULL IN",DATA!$F$1:$G$1,0),0),$E35)</f>
        <v/>
      </c>
      <c r="F52" s="2" t="str">
        <f t="shared" si="6"/>
        <v/>
      </c>
      <c r="G52" s="2" t="str">
        <f>IFERROR(VLOOKUP(E52,[1]FINAL!$A$2:$M$699,MATCH("Team",[1]FINAL!$A$1:$K$1,0),0),"")</f>
        <v/>
      </c>
      <c r="I52" s="4" t="str">
        <f>IFERROR(VLOOKUP($A52&amp;$E35,DATA!$F$1:$H$500,MATCH("FULL OUT",DATA!$F$1:$H$1,0),0),"")</f>
        <v/>
      </c>
    </row>
    <row r="53" spans="1:9" x14ac:dyDescent="0.25">
      <c r="A53" s="6" t="str">
        <f t="shared" si="5"/>
        <v>GW3</v>
      </c>
      <c r="B53" s="7">
        <v>15</v>
      </c>
      <c r="C53" s="7" t="str">
        <f t="shared" si="4"/>
        <v>GW3-15</v>
      </c>
      <c r="D53" s="1" t="str">
        <f>IFERROR(VLOOKUP(E53,[1]FINAL!$A$2:$J$699,MATCH("Pos",[1]FINAL!$A$1:$J$1,0),0),"")</f>
        <v/>
      </c>
      <c r="E53" s="4" t="str">
        <f>IFERROR(VLOOKUP($A53&amp;$E36,DATA!$F$1:$G$500,MATCH("FULL IN",DATA!$F$1:$G$1,0),0),$E36)</f>
        <v/>
      </c>
      <c r="F53" s="2" t="str">
        <f t="shared" si="6"/>
        <v/>
      </c>
      <c r="G53" s="2" t="str">
        <f>IFERROR(VLOOKUP(E53,[1]FINAL!$A$2:$M$699,MATCH("Team",[1]FINAL!$A$1:$K$1,0),0),"")</f>
        <v/>
      </c>
      <c r="I53" s="4" t="str">
        <f>IFERROR(VLOOKUP($A53&amp;$E36,DATA!$F$1:$H$500,MATCH("FULL OUT",DATA!$F$1:$H$1,0),0),"")</f>
        <v/>
      </c>
    </row>
    <row r="54" spans="1:9" x14ac:dyDescent="0.25">
      <c r="D54" s="1" t="str">
        <f>IFERROR(VLOOKUP(E54,[1]FINAL!$A$2:$J$699,MATCH("Pos",[1]FINAL!$A$1:$J$1,0),0),"")</f>
        <v/>
      </c>
      <c r="F54" s="2" t="str">
        <f t="shared" ref="F54" si="7">IF(Z54="","","IN")</f>
        <v/>
      </c>
      <c r="G54" s="2" t="str">
        <f>IFERROR(VLOOKUP(E54,[1]FINAL!$A$2:$M$699,MATCH("Team",[1]FINAL!$A$1:$K$1,0),0),"")</f>
        <v/>
      </c>
    </row>
    <row r="56" spans="1:9" x14ac:dyDescent="0.25">
      <c r="A56" s="6" t="s">
        <v>6</v>
      </c>
      <c r="B56" s="7">
        <v>1</v>
      </c>
      <c r="C56" s="7" t="str">
        <f>A56&amp;-B56</f>
        <v>GW4-1</v>
      </c>
      <c r="D56" s="1" t="str">
        <f>IFERROR(VLOOKUP(E56,[1]FINAL!$A$2:$J$699,MATCH("Pos",[1]FINAL!$A$1:$J$1,0),0),"")</f>
        <v/>
      </c>
      <c r="E56" s="4" t="str">
        <f>IFERROR(VLOOKUP($A56&amp;$E39,DATA!$F$1:$G$500,MATCH("FULL IN",DATA!$F$1:$G$1,0),0),$E39)</f>
        <v>Player Name</v>
      </c>
      <c r="G56" s="2" t="str">
        <f>IFERROR(VLOOKUP(E56,[1]FINAL!$A$2:$M$699,MATCH("Team",[1]FINAL!$A$1:$K$1,0),0),"")</f>
        <v/>
      </c>
      <c r="I56" s="4" t="str">
        <f>IFERROR(VLOOKUP($A56&amp;$E39,DATA!$F$1:$H$500,MATCH("FULL OUT",DATA!$F$1:$H$1,0),0),"")</f>
        <v/>
      </c>
    </row>
    <row r="57" spans="1:9" x14ac:dyDescent="0.25">
      <c r="A57" s="6" t="str">
        <f>A56</f>
        <v>GW4</v>
      </c>
      <c r="B57" s="7">
        <v>2</v>
      </c>
      <c r="C57" s="7" t="str">
        <f t="shared" ref="C57:C70" si="8">A57&amp;-B57</f>
        <v>GW4-2</v>
      </c>
      <c r="D57" s="1" t="str">
        <f>IFERROR(VLOOKUP(E57,[1]FINAL!$A$2:$J$699,MATCH("Pos",[1]FINAL!$A$1:$J$1,0),0),"")</f>
        <v/>
      </c>
      <c r="E57" s="4" t="str">
        <f>IFERROR(VLOOKUP($A57&amp;$E40,DATA!$F$1:$G$500,MATCH("FULL IN",DATA!$F$1:$G$1,0),0),$E40)</f>
        <v/>
      </c>
      <c r="F57" s="2" t="str">
        <f>IF(Z57="","","IN")</f>
        <v/>
      </c>
      <c r="G57" s="2" t="str">
        <f>IFERROR(VLOOKUP(E57,[1]FINAL!$A$2:$M$699,MATCH("Team",[1]FINAL!$A$1:$K$1,0),0),"")</f>
        <v/>
      </c>
      <c r="I57" s="4" t="str">
        <f>IFERROR(VLOOKUP($A57&amp;$E40,DATA!$F$1:$H$500,MATCH("FULL OUT",DATA!$F$1:$H$1,0),0),"")</f>
        <v/>
      </c>
    </row>
    <row r="58" spans="1:9" x14ac:dyDescent="0.25">
      <c r="A58" s="6" t="str">
        <f t="shared" ref="A58:A70" si="9">A57</f>
        <v>GW4</v>
      </c>
      <c r="B58" s="7">
        <v>3</v>
      </c>
      <c r="C58" s="7" t="str">
        <f t="shared" si="8"/>
        <v>GW4-3</v>
      </c>
      <c r="D58" s="1" t="str">
        <f>IFERROR(VLOOKUP(E58,[1]FINAL!$A$2:$J$699,MATCH("Pos",[1]FINAL!$A$1:$J$1,0),0),"")</f>
        <v/>
      </c>
      <c r="E58" s="4" t="str">
        <f>IFERROR(VLOOKUP($A58&amp;$E41,DATA!$F$1:$G$500,MATCH("FULL IN",DATA!$F$1:$G$1,0),0),$E41)</f>
        <v/>
      </c>
      <c r="F58" s="2" t="str">
        <f t="shared" ref="F58:F70" si="10">IF(Z58="","","IN")</f>
        <v/>
      </c>
      <c r="G58" s="2" t="str">
        <f>IFERROR(VLOOKUP(E58,[1]FINAL!$A$2:$M$699,MATCH("Team",[1]FINAL!$A$1:$K$1,0),0),"")</f>
        <v/>
      </c>
      <c r="I58" s="4" t="str">
        <f>IFERROR(VLOOKUP($A58&amp;$E41,DATA!$F$1:$H$500,MATCH("FULL OUT",DATA!$F$1:$H$1,0),0),"")</f>
        <v/>
      </c>
    </row>
    <row r="59" spans="1:9" x14ac:dyDescent="0.25">
      <c r="A59" s="6" t="str">
        <f t="shared" si="9"/>
        <v>GW4</v>
      </c>
      <c r="B59" s="7">
        <v>4</v>
      </c>
      <c r="C59" s="7" t="str">
        <f t="shared" si="8"/>
        <v>GW4-4</v>
      </c>
      <c r="D59" s="1" t="str">
        <f>IFERROR(VLOOKUP(E59,[1]FINAL!$A$2:$J$699,MATCH("Pos",[1]FINAL!$A$1:$J$1,0),0),"")</f>
        <v/>
      </c>
      <c r="E59" s="4" t="str">
        <f>IFERROR(VLOOKUP($A59&amp;$E42,DATA!$F$1:$G$500,MATCH("FULL IN",DATA!$F$1:$G$1,0),0),$E42)</f>
        <v/>
      </c>
      <c r="F59" s="2" t="str">
        <f t="shared" si="10"/>
        <v/>
      </c>
      <c r="G59" s="2" t="str">
        <f>IFERROR(VLOOKUP(E59,[1]FINAL!$A$2:$M$699,MATCH("Team",[1]FINAL!$A$1:$K$1,0),0),"")</f>
        <v/>
      </c>
      <c r="I59" s="4" t="str">
        <f>IFERROR(VLOOKUP($A59&amp;$E42,DATA!$F$1:$H$500,MATCH("FULL OUT",DATA!$F$1:$H$1,0),0),"")</f>
        <v/>
      </c>
    </row>
    <row r="60" spans="1:9" x14ac:dyDescent="0.25">
      <c r="A60" s="6" t="str">
        <f t="shared" si="9"/>
        <v>GW4</v>
      </c>
      <c r="B60" s="7">
        <v>5</v>
      </c>
      <c r="C60" s="7" t="str">
        <f t="shared" si="8"/>
        <v>GW4-5</v>
      </c>
      <c r="D60" s="1" t="str">
        <f>IFERROR(VLOOKUP(E60,[1]FINAL!$A$2:$J$699,MATCH("Pos",[1]FINAL!$A$1:$J$1,0),0),"")</f>
        <v/>
      </c>
      <c r="E60" s="4" t="str">
        <f>IFERROR(VLOOKUP($A60&amp;$E43,DATA!$F$1:$G$500,MATCH("FULL IN",DATA!$F$1:$G$1,0),0),$E43)</f>
        <v/>
      </c>
      <c r="F60" s="2" t="str">
        <f t="shared" si="10"/>
        <v/>
      </c>
      <c r="G60" s="2" t="str">
        <f>IFERROR(VLOOKUP(E60,[1]FINAL!$A$2:$M$699,MATCH("Team",[1]FINAL!$A$1:$K$1,0),0),"")</f>
        <v/>
      </c>
      <c r="I60" s="4" t="str">
        <f>IFERROR(VLOOKUP($A60&amp;$E43,DATA!$F$1:$H$500,MATCH("FULL OUT",DATA!$F$1:$H$1,0),0),"")</f>
        <v/>
      </c>
    </row>
    <row r="61" spans="1:9" x14ac:dyDescent="0.25">
      <c r="A61" s="6" t="str">
        <f t="shared" si="9"/>
        <v>GW4</v>
      </c>
      <c r="B61" s="7">
        <v>6</v>
      </c>
      <c r="C61" s="7" t="str">
        <f t="shared" si="8"/>
        <v>GW4-6</v>
      </c>
      <c r="D61" s="1" t="str">
        <f>IFERROR(VLOOKUP(E61,[1]FINAL!$A$2:$J$699,MATCH("Pos",[1]FINAL!$A$1:$J$1,0),0),"")</f>
        <v/>
      </c>
      <c r="E61" s="4" t="str">
        <f>IFERROR(VLOOKUP($A61&amp;$E44,DATA!$F$1:$G$500,MATCH("FULL IN",DATA!$F$1:$G$1,0),0),$E44)</f>
        <v/>
      </c>
      <c r="F61" s="2" t="str">
        <f t="shared" si="10"/>
        <v/>
      </c>
      <c r="G61" s="2" t="str">
        <f>IFERROR(VLOOKUP(E61,[1]FINAL!$A$2:$M$699,MATCH("Team",[1]FINAL!$A$1:$K$1,0),0),"")</f>
        <v/>
      </c>
      <c r="I61" s="4" t="str">
        <f>IFERROR(VLOOKUP($A61&amp;$E44,DATA!$F$1:$H$500,MATCH("FULL OUT",DATA!$F$1:$H$1,0),0),"")</f>
        <v/>
      </c>
    </row>
    <row r="62" spans="1:9" x14ac:dyDescent="0.25">
      <c r="A62" s="6" t="str">
        <f t="shared" si="9"/>
        <v>GW4</v>
      </c>
      <c r="B62" s="7">
        <v>7</v>
      </c>
      <c r="C62" s="7" t="str">
        <f t="shared" si="8"/>
        <v>GW4-7</v>
      </c>
      <c r="D62" s="1" t="str">
        <f>IFERROR(VLOOKUP(E62,[1]FINAL!$A$2:$J$699,MATCH("Pos",[1]FINAL!$A$1:$J$1,0),0),"")</f>
        <v/>
      </c>
      <c r="E62" s="4" t="str">
        <f>IFERROR(VLOOKUP($A62&amp;$E45,DATA!$F$1:$G$500,MATCH("FULL IN",DATA!$F$1:$G$1,0),0),$E45)</f>
        <v/>
      </c>
      <c r="F62" s="2" t="str">
        <f t="shared" si="10"/>
        <v/>
      </c>
      <c r="G62" s="2" t="str">
        <f>IFERROR(VLOOKUP(E62,[1]FINAL!$A$2:$M$699,MATCH("Team",[1]FINAL!$A$1:$K$1,0),0),"")</f>
        <v/>
      </c>
      <c r="I62" s="4" t="str">
        <f>IFERROR(VLOOKUP($A62&amp;$E45,DATA!$F$1:$H$500,MATCH("FULL OUT",DATA!$F$1:$H$1,0),0),"")</f>
        <v/>
      </c>
    </row>
    <row r="63" spans="1:9" x14ac:dyDescent="0.25">
      <c r="A63" s="6" t="str">
        <f t="shared" si="9"/>
        <v>GW4</v>
      </c>
      <c r="B63" s="7">
        <v>8</v>
      </c>
      <c r="C63" s="7" t="str">
        <f t="shared" si="8"/>
        <v>GW4-8</v>
      </c>
      <c r="D63" s="1" t="str">
        <f>IFERROR(VLOOKUP(E63,[1]FINAL!$A$2:$J$699,MATCH("Pos",[1]FINAL!$A$1:$J$1,0),0),"")</f>
        <v/>
      </c>
      <c r="E63" s="4" t="str">
        <f>IFERROR(VLOOKUP($A63&amp;$E46,DATA!$F$1:$G$500,MATCH("FULL IN",DATA!$F$1:$G$1,0),0),$E46)</f>
        <v/>
      </c>
      <c r="F63" s="2" t="str">
        <f t="shared" si="10"/>
        <v/>
      </c>
      <c r="G63" s="2" t="str">
        <f>IFERROR(VLOOKUP(E63,[1]FINAL!$A$2:$M$699,MATCH("Team",[1]FINAL!$A$1:$K$1,0),0),"")</f>
        <v/>
      </c>
      <c r="I63" s="4" t="str">
        <f>IFERROR(VLOOKUP($A63&amp;$E46,DATA!$F$1:$H$500,MATCH("FULL OUT",DATA!$F$1:$H$1,0),0),"")</f>
        <v/>
      </c>
    </row>
    <row r="64" spans="1:9" x14ac:dyDescent="0.25">
      <c r="A64" s="6" t="str">
        <f t="shared" si="9"/>
        <v>GW4</v>
      </c>
      <c r="B64" s="7">
        <v>9</v>
      </c>
      <c r="C64" s="7" t="str">
        <f t="shared" si="8"/>
        <v>GW4-9</v>
      </c>
      <c r="D64" s="1" t="str">
        <f>IFERROR(VLOOKUP(E64,[1]FINAL!$A$2:$J$699,MATCH("Pos",[1]FINAL!$A$1:$J$1,0),0),"")</f>
        <v/>
      </c>
      <c r="E64" s="4" t="str">
        <f>IFERROR(VLOOKUP($A64&amp;$E47,DATA!$F$1:$G$500,MATCH("FULL IN",DATA!$F$1:$G$1,0),0),$E47)</f>
        <v/>
      </c>
      <c r="F64" s="2" t="str">
        <f t="shared" si="10"/>
        <v/>
      </c>
      <c r="G64" s="2" t="str">
        <f>IFERROR(VLOOKUP(E64,[1]FINAL!$A$2:$M$699,MATCH("Team",[1]FINAL!$A$1:$K$1,0),0),"")</f>
        <v/>
      </c>
      <c r="I64" s="4" t="str">
        <f>IFERROR(VLOOKUP($A64&amp;$E47,DATA!$F$1:$H$500,MATCH("FULL OUT",DATA!$F$1:$H$1,0),0),"")</f>
        <v/>
      </c>
    </row>
    <row r="65" spans="1:9" x14ac:dyDescent="0.25">
      <c r="A65" s="6" t="str">
        <f t="shared" si="9"/>
        <v>GW4</v>
      </c>
      <c r="B65" s="7">
        <v>10</v>
      </c>
      <c r="C65" s="7" t="str">
        <f t="shared" si="8"/>
        <v>GW4-10</v>
      </c>
      <c r="D65" s="1" t="str">
        <f>IFERROR(VLOOKUP(E65,[1]FINAL!$A$2:$J$699,MATCH("Pos",[1]FINAL!$A$1:$J$1,0),0),"")</f>
        <v/>
      </c>
      <c r="E65" s="4" t="str">
        <f>IFERROR(VLOOKUP($A65&amp;$E48,DATA!$F$1:$G$500,MATCH("FULL IN",DATA!$F$1:$G$1,0),0),$E48)</f>
        <v/>
      </c>
      <c r="F65" s="2" t="str">
        <f t="shared" si="10"/>
        <v/>
      </c>
      <c r="G65" s="2" t="str">
        <f>IFERROR(VLOOKUP(E65,[1]FINAL!$A$2:$M$699,MATCH("Team",[1]FINAL!$A$1:$K$1,0),0),"")</f>
        <v/>
      </c>
      <c r="I65" s="4" t="str">
        <f>IFERROR(VLOOKUP($A65&amp;$E48,DATA!$F$1:$H$500,MATCH("FULL OUT",DATA!$F$1:$H$1,0),0),"")</f>
        <v/>
      </c>
    </row>
    <row r="66" spans="1:9" x14ac:dyDescent="0.25">
      <c r="A66" s="6" t="str">
        <f t="shared" si="9"/>
        <v>GW4</v>
      </c>
      <c r="B66" s="7">
        <v>11</v>
      </c>
      <c r="C66" s="7" t="str">
        <f t="shared" si="8"/>
        <v>GW4-11</v>
      </c>
      <c r="D66" s="1" t="str">
        <f>IFERROR(VLOOKUP(E66,[1]FINAL!$A$2:$J$699,MATCH("Pos",[1]FINAL!$A$1:$J$1,0),0),"")</f>
        <v/>
      </c>
      <c r="E66" s="4" t="str">
        <f>IFERROR(VLOOKUP($A66&amp;$E49,DATA!$F$1:$G$500,MATCH("FULL IN",DATA!$F$1:$G$1,0),0),$E49)</f>
        <v/>
      </c>
      <c r="F66" s="2" t="str">
        <f t="shared" si="10"/>
        <v/>
      </c>
      <c r="G66" s="2" t="str">
        <f>IFERROR(VLOOKUP(E66,[1]FINAL!$A$2:$M$699,MATCH("Team",[1]FINAL!$A$1:$K$1,0),0),"")</f>
        <v/>
      </c>
      <c r="I66" s="4" t="str">
        <f>IFERROR(VLOOKUP($A66&amp;$E49,DATA!$F$1:$H$500,MATCH("FULL OUT",DATA!$F$1:$H$1,0),0),"")</f>
        <v/>
      </c>
    </row>
    <row r="67" spans="1:9" x14ac:dyDescent="0.25">
      <c r="A67" s="6" t="str">
        <f t="shared" si="9"/>
        <v>GW4</v>
      </c>
      <c r="B67" s="7">
        <v>12</v>
      </c>
      <c r="C67" s="7" t="str">
        <f t="shared" si="8"/>
        <v>GW4-12</v>
      </c>
      <c r="D67" s="1" t="str">
        <f>IFERROR(VLOOKUP(E67,[1]FINAL!$A$2:$J$699,MATCH("Pos",[1]FINAL!$A$1:$J$1,0),0),"")</f>
        <v/>
      </c>
      <c r="E67" s="4" t="str">
        <f>IFERROR(VLOOKUP($A67&amp;$E50,DATA!$F$1:$G$500,MATCH("FULL IN",DATA!$F$1:$G$1,0),0),$E50)</f>
        <v/>
      </c>
      <c r="F67" s="2" t="str">
        <f t="shared" si="10"/>
        <v/>
      </c>
      <c r="G67" s="2" t="str">
        <f>IFERROR(VLOOKUP(E67,[1]FINAL!$A$2:$M$699,MATCH("Team",[1]FINAL!$A$1:$K$1,0),0),"")</f>
        <v/>
      </c>
      <c r="I67" s="4" t="str">
        <f>IFERROR(VLOOKUP($A67&amp;$E50,DATA!$F$1:$H$500,MATCH("FULL OUT",DATA!$F$1:$H$1,0),0),"")</f>
        <v/>
      </c>
    </row>
    <row r="68" spans="1:9" x14ac:dyDescent="0.25">
      <c r="A68" s="6" t="str">
        <f t="shared" si="9"/>
        <v>GW4</v>
      </c>
      <c r="B68" s="7">
        <v>13</v>
      </c>
      <c r="C68" s="7" t="str">
        <f t="shared" si="8"/>
        <v>GW4-13</v>
      </c>
      <c r="D68" s="1" t="str">
        <f>IFERROR(VLOOKUP(E68,[1]FINAL!$A$2:$J$699,MATCH("Pos",[1]FINAL!$A$1:$J$1,0),0),"")</f>
        <v/>
      </c>
      <c r="E68" s="4" t="str">
        <f>IFERROR(VLOOKUP($A68&amp;$E51,DATA!$F$1:$G$500,MATCH("FULL IN",DATA!$F$1:$G$1,0),0),$E51)</f>
        <v/>
      </c>
      <c r="F68" s="2" t="str">
        <f t="shared" si="10"/>
        <v/>
      </c>
      <c r="G68" s="2" t="str">
        <f>IFERROR(VLOOKUP(E68,[1]FINAL!$A$2:$M$699,MATCH("Team",[1]FINAL!$A$1:$K$1,0),0),"")</f>
        <v/>
      </c>
      <c r="I68" s="4" t="str">
        <f>IFERROR(VLOOKUP($A68&amp;$E51,DATA!$F$1:$H$500,MATCH("FULL OUT",DATA!$F$1:$H$1,0),0),"")</f>
        <v/>
      </c>
    </row>
    <row r="69" spans="1:9" x14ac:dyDescent="0.25">
      <c r="A69" s="6" t="str">
        <f t="shared" si="9"/>
        <v>GW4</v>
      </c>
      <c r="B69" s="7">
        <v>14</v>
      </c>
      <c r="C69" s="7" t="str">
        <f t="shared" si="8"/>
        <v>GW4-14</v>
      </c>
      <c r="D69" s="1" t="str">
        <f>IFERROR(VLOOKUP(E69,[1]FINAL!$A$2:$J$699,MATCH("Pos",[1]FINAL!$A$1:$J$1,0),0),"")</f>
        <v/>
      </c>
      <c r="E69" s="4" t="str">
        <f>IFERROR(VLOOKUP($A69&amp;$E52,DATA!$F$1:$G$500,MATCH("FULL IN",DATA!$F$1:$G$1,0),0),$E52)</f>
        <v/>
      </c>
      <c r="F69" s="2" t="str">
        <f t="shared" si="10"/>
        <v/>
      </c>
      <c r="G69" s="2" t="str">
        <f>IFERROR(VLOOKUP(E69,[1]FINAL!$A$2:$M$699,MATCH("Team",[1]FINAL!$A$1:$K$1,0),0),"")</f>
        <v/>
      </c>
      <c r="I69" s="4" t="str">
        <f>IFERROR(VLOOKUP($A69&amp;$E52,DATA!$F$1:$H$500,MATCH("FULL OUT",DATA!$F$1:$H$1,0),0),"")</f>
        <v/>
      </c>
    </row>
    <row r="70" spans="1:9" x14ac:dyDescent="0.25">
      <c r="A70" s="6" t="str">
        <f t="shared" si="9"/>
        <v>GW4</v>
      </c>
      <c r="B70" s="7">
        <v>15</v>
      </c>
      <c r="C70" s="7" t="str">
        <f t="shared" si="8"/>
        <v>GW4-15</v>
      </c>
      <c r="D70" s="1" t="str">
        <f>IFERROR(VLOOKUP(E70,[1]FINAL!$A$2:$J$699,MATCH("Pos",[1]FINAL!$A$1:$J$1,0),0),"")</f>
        <v/>
      </c>
      <c r="E70" s="4" t="str">
        <f>IFERROR(VLOOKUP($A70&amp;$E53,DATA!$F$1:$G$500,MATCH("FULL IN",DATA!$F$1:$G$1,0),0),$E53)</f>
        <v/>
      </c>
      <c r="F70" s="2" t="str">
        <f t="shared" si="10"/>
        <v/>
      </c>
      <c r="G70" s="2" t="str">
        <f>IFERROR(VLOOKUP(E70,[1]FINAL!$A$2:$M$699,MATCH("Team",[1]FINAL!$A$1:$K$1,0),0),"")</f>
        <v/>
      </c>
      <c r="I70" s="4" t="str">
        <f>IFERROR(VLOOKUP($A70&amp;$E53,DATA!$F$1:$H$500,MATCH("FULL OUT",DATA!$F$1:$H$1,0),0),"")</f>
        <v/>
      </c>
    </row>
    <row r="73" spans="1:9" x14ac:dyDescent="0.25">
      <c r="A73" s="6" t="s">
        <v>7</v>
      </c>
      <c r="B73" s="7">
        <v>1</v>
      </c>
      <c r="C73" s="7" t="str">
        <f>A73&amp;-B73</f>
        <v>GW5-1</v>
      </c>
      <c r="D73" s="1" t="str">
        <f>IFERROR(VLOOKUP(E73,[1]FINAL!$A$2:$J$699,MATCH("Pos",[1]FINAL!$A$1:$J$1,0),0),"")</f>
        <v/>
      </c>
      <c r="E73" s="4" t="str">
        <f>IFERROR(VLOOKUP($A73&amp;$E56,DATA!$F$1:$G$500,MATCH("FULL IN",DATA!$F$1:$G$1,0),0),$E56)</f>
        <v>Player Name</v>
      </c>
      <c r="G73" s="2" t="str">
        <f>IFERROR(VLOOKUP(E73,[1]FINAL!$A$2:$M$699,MATCH("Team",[1]FINAL!$A$1:$K$1,0),0),"")</f>
        <v/>
      </c>
      <c r="I73" s="4" t="str">
        <f>IFERROR(VLOOKUP($A73&amp;$E56,DATA!$F$1:$H$500,MATCH("FULL OUT",DATA!$F$1:$H$1,0),0),"")</f>
        <v/>
      </c>
    </row>
    <row r="74" spans="1:9" x14ac:dyDescent="0.25">
      <c r="A74" s="6" t="str">
        <f>A73</f>
        <v>GW5</v>
      </c>
      <c r="B74" s="7">
        <v>2</v>
      </c>
      <c r="C74" s="7" t="str">
        <f t="shared" ref="C74:C87" si="11">A74&amp;-B74</f>
        <v>GW5-2</v>
      </c>
      <c r="D74" s="1" t="str">
        <f>IFERROR(VLOOKUP(E74,[1]FINAL!$A$2:$J$699,MATCH("Pos",[1]FINAL!$A$1:$J$1,0),0),"")</f>
        <v/>
      </c>
      <c r="E74" s="4" t="str">
        <f>IFERROR(VLOOKUP($A74&amp;$E57,DATA!$F$1:$G$500,MATCH("FULL IN",DATA!$F$1:$G$1,0),0),$E57)</f>
        <v/>
      </c>
      <c r="F74" s="2" t="str">
        <f>IF(Z74="","","IN")</f>
        <v/>
      </c>
      <c r="G74" s="2" t="str">
        <f>IFERROR(VLOOKUP(E74,[1]FINAL!$A$2:$M$699,MATCH("Team",[1]FINAL!$A$1:$K$1,0),0),"")</f>
        <v/>
      </c>
      <c r="I74" s="4" t="str">
        <f>IFERROR(VLOOKUP($A74&amp;$E57,DATA!$F$1:$H$500,MATCH("FULL OUT",DATA!$F$1:$H$1,0),0),"")</f>
        <v/>
      </c>
    </row>
    <row r="75" spans="1:9" x14ac:dyDescent="0.25">
      <c r="A75" s="6" t="str">
        <f t="shared" ref="A75:A87" si="12">A74</f>
        <v>GW5</v>
      </c>
      <c r="B75" s="7">
        <v>3</v>
      </c>
      <c r="C75" s="7" t="str">
        <f t="shared" si="11"/>
        <v>GW5-3</v>
      </c>
      <c r="D75" s="1" t="str">
        <f>IFERROR(VLOOKUP(E75,[1]FINAL!$A$2:$J$699,MATCH("Pos",[1]FINAL!$A$1:$J$1,0),0),"")</f>
        <v/>
      </c>
      <c r="E75" s="4" t="str">
        <f>IFERROR(VLOOKUP($A75&amp;$E58,DATA!$F$1:$G$500,MATCH("FULL IN",DATA!$F$1:$G$1,0),0),$E58)</f>
        <v/>
      </c>
      <c r="F75" s="2" t="str">
        <f t="shared" ref="F75:F87" si="13">IF(Z75="","","IN")</f>
        <v/>
      </c>
      <c r="G75" s="2" t="str">
        <f>IFERROR(VLOOKUP(E75,[1]FINAL!$A$2:$M$699,MATCH("Team",[1]FINAL!$A$1:$K$1,0),0),"")</f>
        <v/>
      </c>
      <c r="I75" s="4" t="str">
        <f>IFERROR(VLOOKUP($A75&amp;$E58,DATA!$F$1:$H$500,MATCH("FULL OUT",DATA!$F$1:$H$1,0),0),"")</f>
        <v/>
      </c>
    </row>
    <row r="76" spans="1:9" x14ac:dyDescent="0.25">
      <c r="A76" s="6" t="str">
        <f t="shared" si="12"/>
        <v>GW5</v>
      </c>
      <c r="B76" s="7">
        <v>4</v>
      </c>
      <c r="C76" s="7" t="str">
        <f t="shared" si="11"/>
        <v>GW5-4</v>
      </c>
      <c r="D76" s="1" t="str">
        <f>IFERROR(VLOOKUP(E76,[1]FINAL!$A$2:$J$699,MATCH("Pos",[1]FINAL!$A$1:$J$1,0),0),"")</f>
        <v/>
      </c>
      <c r="E76" s="4" t="str">
        <f>IFERROR(VLOOKUP($A76&amp;$E59,DATA!$F$1:$G$500,MATCH("FULL IN",DATA!$F$1:$G$1,0),0),$E59)</f>
        <v/>
      </c>
      <c r="F76" s="2" t="str">
        <f t="shared" si="13"/>
        <v/>
      </c>
      <c r="G76" s="2" t="str">
        <f>IFERROR(VLOOKUP(E76,[1]FINAL!$A$2:$M$699,MATCH("Team",[1]FINAL!$A$1:$K$1,0),0),"")</f>
        <v/>
      </c>
      <c r="I76" s="4" t="str">
        <f>IFERROR(VLOOKUP($A76&amp;$E59,DATA!$F$1:$H$500,MATCH("FULL OUT",DATA!$F$1:$H$1,0),0),"")</f>
        <v/>
      </c>
    </row>
    <row r="77" spans="1:9" x14ac:dyDescent="0.25">
      <c r="A77" s="6" t="str">
        <f t="shared" si="12"/>
        <v>GW5</v>
      </c>
      <c r="B77" s="7">
        <v>5</v>
      </c>
      <c r="C77" s="7" t="str">
        <f t="shared" si="11"/>
        <v>GW5-5</v>
      </c>
      <c r="D77" s="1" t="str">
        <f>IFERROR(VLOOKUP(E77,[1]FINAL!$A$2:$J$699,MATCH("Pos",[1]FINAL!$A$1:$J$1,0),0),"")</f>
        <v/>
      </c>
      <c r="E77" s="4" t="str">
        <f>IFERROR(VLOOKUP($A77&amp;$E60,DATA!$F$1:$G$500,MATCH("FULL IN",DATA!$F$1:$G$1,0),0),$E60)</f>
        <v/>
      </c>
      <c r="F77" s="2" t="str">
        <f t="shared" si="13"/>
        <v/>
      </c>
      <c r="G77" s="2" t="str">
        <f>IFERROR(VLOOKUP(E77,[1]FINAL!$A$2:$M$699,MATCH("Team",[1]FINAL!$A$1:$K$1,0),0),"")</f>
        <v/>
      </c>
      <c r="I77" s="4" t="str">
        <f>IFERROR(VLOOKUP($A77&amp;$E60,DATA!$F$1:$H$500,MATCH("FULL OUT",DATA!$F$1:$H$1,0),0),"")</f>
        <v/>
      </c>
    </row>
    <row r="78" spans="1:9" x14ac:dyDescent="0.25">
      <c r="A78" s="6" t="str">
        <f t="shared" si="12"/>
        <v>GW5</v>
      </c>
      <c r="B78" s="7">
        <v>6</v>
      </c>
      <c r="C78" s="7" t="str">
        <f t="shared" si="11"/>
        <v>GW5-6</v>
      </c>
      <c r="D78" s="1" t="str">
        <f>IFERROR(VLOOKUP(E78,[1]FINAL!$A$2:$J$699,MATCH("Pos",[1]FINAL!$A$1:$J$1,0),0),"")</f>
        <v/>
      </c>
      <c r="E78" s="4" t="str">
        <f>IFERROR(VLOOKUP($A78&amp;$E61,DATA!$F$1:$G$500,MATCH("FULL IN",DATA!$F$1:$G$1,0),0),$E61)</f>
        <v/>
      </c>
      <c r="F78" s="2" t="str">
        <f t="shared" si="13"/>
        <v/>
      </c>
      <c r="G78" s="2" t="str">
        <f>IFERROR(VLOOKUP(E78,[1]FINAL!$A$2:$M$699,MATCH("Team",[1]FINAL!$A$1:$K$1,0),0),"")</f>
        <v/>
      </c>
      <c r="I78" s="4" t="str">
        <f>IFERROR(VLOOKUP($A78&amp;$E61,DATA!$F$1:$H$500,MATCH("FULL OUT",DATA!$F$1:$H$1,0),0),"")</f>
        <v/>
      </c>
    </row>
    <row r="79" spans="1:9" x14ac:dyDescent="0.25">
      <c r="A79" s="6" t="str">
        <f t="shared" si="12"/>
        <v>GW5</v>
      </c>
      <c r="B79" s="7">
        <v>7</v>
      </c>
      <c r="C79" s="7" t="str">
        <f t="shared" si="11"/>
        <v>GW5-7</v>
      </c>
      <c r="D79" s="1" t="str">
        <f>IFERROR(VLOOKUP(E79,[1]FINAL!$A$2:$J$699,MATCH("Pos",[1]FINAL!$A$1:$J$1,0),0),"")</f>
        <v/>
      </c>
      <c r="E79" s="4" t="str">
        <f>IFERROR(VLOOKUP($A79&amp;$E62,DATA!$F$1:$G$500,MATCH("FULL IN",DATA!$F$1:$G$1,0),0),$E62)</f>
        <v/>
      </c>
      <c r="F79" s="2" t="str">
        <f t="shared" si="13"/>
        <v/>
      </c>
      <c r="G79" s="2" t="str">
        <f>IFERROR(VLOOKUP(E79,[1]FINAL!$A$2:$M$699,MATCH("Team",[1]FINAL!$A$1:$K$1,0),0),"")</f>
        <v/>
      </c>
      <c r="I79" s="4" t="str">
        <f>IFERROR(VLOOKUP($A79&amp;$E62,DATA!$F$1:$H$500,MATCH("FULL OUT",DATA!$F$1:$H$1,0),0),"")</f>
        <v/>
      </c>
    </row>
    <row r="80" spans="1:9" x14ac:dyDescent="0.25">
      <c r="A80" s="6" t="str">
        <f t="shared" si="12"/>
        <v>GW5</v>
      </c>
      <c r="B80" s="7">
        <v>8</v>
      </c>
      <c r="C80" s="7" t="str">
        <f t="shared" si="11"/>
        <v>GW5-8</v>
      </c>
      <c r="D80" s="1" t="str">
        <f>IFERROR(VLOOKUP(E80,[1]FINAL!$A$2:$J$699,MATCH("Pos",[1]FINAL!$A$1:$J$1,0),0),"")</f>
        <v/>
      </c>
      <c r="E80" s="4" t="str">
        <f>IFERROR(VLOOKUP($A80&amp;$E63,DATA!$F$1:$G$500,MATCH("FULL IN",DATA!$F$1:$G$1,0),0),$E63)</f>
        <v/>
      </c>
      <c r="F80" s="2" t="str">
        <f t="shared" si="13"/>
        <v/>
      </c>
      <c r="G80" s="2" t="str">
        <f>IFERROR(VLOOKUP(E80,[1]FINAL!$A$2:$M$699,MATCH("Team",[1]FINAL!$A$1:$K$1,0),0),"")</f>
        <v/>
      </c>
      <c r="I80" s="4" t="str">
        <f>IFERROR(VLOOKUP($A80&amp;$E63,DATA!$F$1:$H$500,MATCH("FULL OUT",DATA!$F$1:$H$1,0),0),"")</f>
        <v/>
      </c>
    </row>
    <row r="81" spans="1:9" x14ac:dyDescent="0.25">
      <c r="A81" s="6" t="str">
        <f t="shared" si="12"/>
        <v>GW5</v>
      </c>
      <c r="B81" s="7">
        <v>9</v>
      </c>
      <c r="C81" s="7" t="str">
        <f t="shared" si="11"/>
        <v>GW5-9</v>
      </c>
      <c r="D81" s="1" t="str">
        <f>IFERROR(VLOOKUP(E81,[1]FINAL!$A$2:$J$699,MATCH("Pos",[1]FINAL!$A$1:$J$1,0),0),"")</f>
        <v/>
      </c>
      <c r="E81" s="4" t="str">
        <f>IFERROR(VLOOKUP($A81&amp;$E64,DATA!$F$1:$G$500,MATCH("FULL IN",DATA!$F$1:$G$1,0),0),$E64)</f>
        <v/>
      </c>
      <c r="F81" s="2" t="str">
        <f t="shared" si="13"/>
        <v/>
      </c>
      <c r="G81" s="2" t="str">
        <f>IFERROR(VLOOKUP(E81,[1]FINAL!$A$2:$M$699,MATCH("Team",[1]FINAL!$A$1:$K$1,0),0),"")</f>
        <v/>
      </c>
      <c r="I81" s="4" t="str">
        <f>IFERROR(VLOOKUP($A81&amp;$E64,DATA!$F$1:$H$500,MATCH("FULL OUT",DATA!$F$1:$H$1,0),0),"")</f>
        <v/>
      </c>
    </row>
    <row r="82" spans="1:9" x14ac:dyDescent="0.25">
      <c r="A82" s="6" t="str">
        <f t="shared" si="12"/>
        <v>GW5</v>
      </c>
      <c r="B82" s="7">
        <v>10</v>
      </c>
      <c r="C82" s="7" t="str">
        <f t="shared" si="11"/>
        <v>GW5-10</v>
      </c>
      <c r="D82" s="1" t="str">
        <f>IFERROR(VLOOKUP(E82,[1]FINAL!$A$2:$J$699,MATCH("Pos",[1]FINAL!$A$1:$J$1,0),0),"")</f>
        <v/>
      </c>
      <c r="E82" s="4" t="str">
        <f>IFERROR(VLOOKUP($A82&amp;$E65,DATA!$F$1:$G$500,MATCH("FULL IN",DATA!$F$1:$G$1,0),0),$E65)</f>
        <v/>
      </c>
      <c r="F82" s="2" t="str">
        <f t="shared" si="13"/>
        <v/>
      </c>
      <c r="G82" s="2" t="str">
        <f>IFERROR(VLOOKUP(E82,[1]FINAL!$A$2:$M$699,MATCH("Team",[1]FINAL!$A$1:$K$1,0),0),"")</f>
        <v/>
      </c>
      <c r="I82" s="4" t="str">
        <f>IFERROR(VLOOKUP($A82&amp;$E65,DATA!$F$1:$H$500,MATCH("FULL OUT",DATA!$F$1:$H$1,0),0),"")</f>
        <v/>
      </c>
    </row>
    <row r="83" spans="1:9" x14ac:dyDescent="0.25">
      <c r="A83" s="6" t="str">
        <f t="shared" si="12"/>
        <v>GW5</v>
      </c>
      <c r="B83" s="7">
        <v>11</v>
      </c>
      <c r="C83" s="7" t="str">
        <f t="shared" si="11"/>
        <v>GW5-11</v>
      </c>
      <c r="D83" s="1" t="str">
        <f>IFERROR(VLOOKUP(E83,[1]FINAL!$A$2:$J$699,MATCH("Pos",[1]FINAL!$A$1:$J$1,0),0),"")</f>
        <v/>
      </c>
      <c r="E83" s="4" t="str">
        <f>IFERROR(VLOOKUP($A83&amp;$E66,DATA!$F$1:$G$500,MATCH("FULL IN",DATA!$F$1:$G$1,0),0),$E66)</f>
        <v/>
      </c>
      <c r="F83" s="2" t="str">
        <f t="shared" si="13"/>
        <v/>
      </c>
      <c r="G83" s="2" t="str">
        <f>IFERROR(VLOOKUP(E83,[1]FINAL!$A$2:$M$699,MATCH("Team",[1]FINAL!$A$1:$K$1,0),0),"")</f>
        <v/>
      </c>
      <c r="I83" s="4" t="str">
        <f>IFERROR(VLOOKUP($A83&amp;$E66,DATA!$F$1:$H$500,MATCH("FULL OUT",DATA!$F$1:$H$1,0),0),"")</f>
        <v/>
      </c>
    </row>
    <row r="84" spans="1:9" x14ac:dyDescent="0.25">
      <c r="A84" s="6" t="str">
        <f t="shared" si="12"/>
        <v>GW5</v>
      </c>
      <c r="B84" s="7">
        <v>12</v>
      </c>
      <c r="C84" s="7" t="str">
        <f t="shared" si="11"/>
        <v>GW5-12</v>
      </c>
      <c r="D84" s="1" t="str">
        <f>IFERROR(VLOOKUP(E84,[1]FINAL!$A$2:$J$699,MATCH("Pos",[1]FINAL!$A$1:$J$1,0),0),"")</f>
        <v/>
      </c>
      <c r="E84" s="4" t="str">
        <f>IFERROR(VLOOKUP($A84&amp;$E67,DATA!$F$1:$G$500,MATCH("FULL IN",DATA!$F$1:$G$1,0),0),$E67)</f>
        <v/>
      </c>
      <c r="F84" s="2" t="str">
        <f t="shared" si="13"/>
        <v/>
      </c>
      <c r="G84" s="2" t="str">
        <f>IFERROR(VLOOKUP(E84,[1]FINAL!$A$2:$M$699,MATCH("Team",[1]FINAL!$A$1:$K$1,0),0),"")</f>
        <v/>
      </c>
      <c r="I84" s="4" t="str">
        <f>IFERROR(VLOOKUP($A84&amp;$E67,DATA!$F$1:$H$500,MATCH("FULL OUT",DATA!$F$1:$H$1,0),0),"")</f>
        <v/>
      </c>
    </row>
    <row r="85" spans="1:9" x14ac:dyDescent="0.25">
      <c r="A85" s="6" t="str">
        <f t="shared" si="12"/>
        <v>GW5</v>
      </c>
      <c r="B85" s="7">
        <v>13</v>
      </c>
      <c r="C85" s="7" t="str">
        <f t="shared" si="11"/>
        <v>GW5-13</v>
      </c>
      <c r="D85" s="1" t="str">
        <f>IFERROR(VLOOKUP(E85,[1]FINAL!$A$2:$J$699,MATCH("Pos",[1]FINAL!$A$1:$J$1,0),0),"")</f>
        <v/>
      </c>
      <c r="E85" s="4" t="str">
        <f>IFERROR(VLOOKUP($A85&amp;$E68,DATA!$F$1:$G$500,MATCH("FULL IN",DATA!$F$1:$G$1,0),0),$E68)</f>
        <v/>
      </c>
      <c r="F85" s="2" t="str">
        <f t="shared" si="13"/>
        <v/>
      </c>
      <c r="G85" s="2" t="str">
        <f>IFERROR(VLOOKUP(E85,[1]FINAL!$A$2:$M$699,MATCH("Team",[1]FINAL!$A$1:$K$1,0),0),"")</f>
        <v/>
      </c>
      <c r="I85" s="4" t="str">
        <f>IFERROR(VLOOKUP($A85&amp;$E68,DATA!$F$1:$H$500,MATCH("FULL OUT",DATA!$F$1:$H$1,0),0),"")</f>
        <v/>
      </c>
    </row>
    <row r="86" spans="1:9" x14ac:dyDescent="0.25">
      <c r="A86" s="6" t="str">
        <f t="shared" si="12"/>
        <v>GW5</v>
      </c>
      <c r="B86" s="7">
        <v>14</v>
      </c>
      <c r="C86" s="7" t="str">
        <f t="shared" si="11"/>
        <v>GW5-14</v>
      </c>
      <c r="D86" s="1" t="str">
        <f>IFERROR(VLOOKUP(E86,[1]FINAL!$A$2:$J$699,MATCH("Pos",[1]FINAL!$A$1:$J$1,0),0),"")</f>
        <v/>
      </c>
      <c r="E86" s="4" t="str">
        <f>IFERROR(VLOOKUP($A86&amp;$E69,DATA!$F$1:$G$500,MATCH("FULL IN",DATA!$F$1:$G$1,0),0),$E69)</f>
        <v/>
      </c>
      <c r="F86" s="2" t="str">
        <f t="shared" si="13"/>
        <v/>
      </c>
      <c r="G86" s="2" t="str">
        <f>IFERROR(VLOOKUP(E86,[1]FINAL!$A$2:$M$699,MATCH("Team",[1]FINAL!$A$1:$K$1,0),0),"")</f>
        <v/>
      </c>
      <c r="I86" s="4" t="str">
        <f>IFERROR(VLOOKUP($A86&amp;$E69,DATA!$F$1:$H$500,MATCH("FULL OUT",DATA!$F$1:$H$1,0),0),"")</f>
        <v/>
      </c>
    </row>
    <row r="87" spans="1:9" x14ac:dyDescent="0.25">
      <c r="A87" s="6" t="str">
        <f t="shared" si="12"/>
        <v>GW5</v>
      </c>
      <c r="B87" s="7">
        <v>15</v>
      </c>
      <c r="C87" s="7" t="str">
        <f t="shared" si="11"/>
        <v>GW5-15</v>
      </c>
      <c r="D87" s="1" t="str">
        <f>IFERROR(VLOOKUP(E87,[1]FINAL!$A$2:$J$699,MATCH("Pos",[1]FINAL!$A$1:$J$1,0),0),"")</f>
        <v/>
      </c>
      <c r="E87" s="4" t="str">
        <f>IFERROR(VLOOKUP($A87&amp;$E70,DATA!$F$1:$G$500,MATCH("FULL IN",DATA!$F$1:$G$1,0),0),$E70)</f>
        <v/>
      </c>
      <c r="F87" s="2" t="str">
        <f t="shared" si="13"/>
        <v/>
      </c>
      <c r="G87" s="2" t="str">
        <f>IFERROR(VLOOKUP(E87,[1]FINAL!$A$2:$M$699,MATCH("Team",[1]FINAL!$A$1:$K$1,0),0),"")</f>
        <v/>
      </c>
      <c r="I87" s="4" t="str">
        <f>IFERROR(VLOOKUP($A87&amp;$E70,DATA!$F$1:$H$500,MATCH("FULL OUT",DATA!$F$1:$H$1,0),0),"")</f>
        <v/>
      </c>
    </row>
    <row r="90" spans="1:9" x14ac:dyDescent="0.25">
      <c r="A90" s="6" t="s">
        <v>8</v>
      </c>
      <c r="B90" s="7">
        <v>1</v>
      </c>
      <c r="C90" s="7" t="str">
        <f>A90&amp;-B90</f>
        <v>GW6-1</v>
      </c>
      <c r="D90" s="1" t="str">
        <f>IFERROR(VLOOKUP(E90,[1]FINAL!$A$2:$J$699,MATCH("Pos",[1]FINAL!$A$1:$J$1,0),0),"")</f>
        <v/>
      </c>
      <c r="E90" s="4" t="str">
        <f>IFERROR(VLOOKUP($A90&amp;$E73,DATA!$F$1:$G$500,MATCH("FULL IN",DATA!$F$1:$G$1,0),0),$E73)</f>
        <v>Player Name</v>
      </c>
      <c r="G90" s="2" t="str">
        <f>IFERROR(VLOOKUP(E90,[1]FINAL!$A$2:$M$699,MATCH("Team",[1]FINAL!$A$1:$K$1,0),0),"")</f>
        <v/>
      </c>
      <c r="I90" s="4" t="str">
        <f>IFERROR(VLOOKUP($A90&amp;$E73,DATA!$F$1:$H$500,MATCH("FULL OUT",DATA!$F$1:$H$1,0),0),"")</f>
        <v/>
      </c>
    </row>
    <row r="91" spans="1:9" x14ac:dyDescent="0.25">
      <c r="A91" s="6" t="str">
        <f>A90</f>
        <v>GW6</v>
      </c>
      <c r="B91" s="7">
        <v>2</v>
      </c>
      <c r="C91" s="7" t="str">
        <f t="shared" ref="C91:C104" si="14">A91&amp;-B91</f>
        <v>GW6-2</v>
      </c>
      <c r="D91" s="1" t="str">
        <f>IFERROR(VLOOKUP(E91,[1]FINAL!$A$2:$J$699,MATCH("Pos",[1]FINAL!$A$1:$J$1,0),0),"")</f>
        <v/>
      </c>
      <c r="E91" s="4" t="str">
        <f>IFERROR(VLOOKUP($A91&amp;$E74,DATA!$F$1:$G$500,MATCH("FULL IN",DATA!$F$1:$G$1,0),0),$E74)</f>
        <v/>
      </c>
      <c r="F91" s="2" t="str">
        <f>IF(Z91="","","IN")</f>
        <v/>
      </c>
      <c r="G91" s="2" t="str">
        <f>IFERROR(VLOOKUP(E91,[1]FINAL!$A$2:$M$699,MATCH("Team",[1]FINAL!$A$1:$K$1,0),0),"")</f>
        <v/>
      </c>
      <c r="I91" s="4" t="str">
        <f>IFERROR(VLOOKUP($A91&amp;$E74,DATA!$F$1:$H$500,MATCH("FULL OUT",DATA!$F$1:$H$1,0),0),"")</f>
        <v/>
      </c>
    </row>
    <row r="92" spans="1:9" x14ac:dyDescent="0.25">
      <c r="A92" s="6" t="str">
        <f t="shared" ref="A92:A104" si="15">A91</f>
        <v>GW6</v>
      </c>
      <c r="B92" s="7">
        <v>3</v>
      </c>
      <c r="C92" s="7" t="str">
        <f t="shared" si="14"/>
        <v>GW6-3</v>
      </c>
      <c r="D92" s="1" t="str">
        <f>IFERROR(VLOOKUP(E92,[1]FINAL!$A$2:$J$699,MATCH("Pos",[1]FINAL!$A$1:$J$1,0),0),"")</f>
        <v/>
      </c>
      <c r="E92" s="4" t="str">
        <f>IFERROR(VLOOKUP($A92&amp;$E75,DATA!$F$1:$G$500,MATCH("FULL IN",DATA!$F$1:$G$1,0),0),$E75)</f>
        <v/>
      </c>
      <c r="F92" s="2" t="str">
        <f t="shared" ref="F92:F104" si="16">IF(Z92="","","IN")</f>
        <v/>
      </c>
      <c r="G92" s="2" t="str">
        <f>IFERROR(VLOOKUP(E92,[1]FINAL!$A$2:$M$699,MATCH("Team",[1]FINAL!$A$1:$K$1,0),0),"")</f>
        <v/>
      </c>
      <c r="I92" s="4" t="str">
        <f>IFERROR(VLOOKUP($A92&amp;$E75,DATA!$F$1:$H$500,MATCH("FULL OUT",DATA!$F$1:$H$1,0),0),"")</f>
        <v/>
      </c>
    </row>
    <row r="93" spans="1:9" x14ac:dyDescent="0.25">
      <c r="A93" s="6" t="str">
        <f t="shared" si="15"/>
        <v>GW6</v>
      </c>
      <c r="B93" s="7">
        <v>4</v>
      </c>
      <c r="C93" s="7" t="str">
        <f t="shared" si="14"/>
        <v>GW6-4</v>
      </c>
      <c r="D93" s="1" t="str">
        <f>IFERROR(VLOOKUP(E93,[1]FINAL!$A$2:$J$699,MATCH("Pos",[1]FINAL!$A$1:$J$1,0),0),"")</f>
        <v/>
      </c>
      <c r="E93" s="4" t="str">
        <f>IFERROR(VLOOKUP($A93&amp;$E76,DATA!$F$1:$G$500,MATCH("FULL IN",DATA!$F$1:$G$1,0),0),$E76)</f>
        <v/>
      </c>
      <c r="F93" s="2" t="str">
        <f t="shared" si="16"/>
        <v/>
      </c>
      <c r="G93" s="2" t="str">
        <f>IFERROR(VLOOKUP(E93,[1]FINAL!$A$2:$M$699,MATCH("Team",[1]FINAL!$A$1:$K$1,0),0),"")</f>
        <v/>
      </c>
      <c r="I93" s="4" t="str">
        <f>IFERROR(VLOOKUP($A93&amp;$E76,DATA!$F$1:$H$500,MATCH("FULL OUT",DATA!$F$1:$H$1,0),0),"")</f>
        <v/>
      </c>
    </row>
    <row r="94" spans="1:9" x14ac:dyDescent="0.25">
      <c r="A94" s="6" t="str">
        <f t="shared" si="15"/>
        <v>GW6</v>
      </c>
      <c r="B94" s="7">
        <v>5</v>
      </c>
      <c r="C94" s="7" t="str">
        <f t="shared" si="14"/>
        <v>GW6-5</v>
      </c>
      <c r="D94" s="1" t="str">
        <f>IFERROR(VLOOKUP(E94,[1]FINAL!$A$2:$J$699,MATCH("Pos",[1]FINAL!$A$1:$J$1,0),0),"")</f>
        <v/>
      </c>
      <c r="E94" s="4" t="str">
        <f>IFERROR(VLOOKUP($A94&amp;$E77,DATA!$F$1:$G$500,MATCH("FULL IN",DATA!$F$1:$G$1,0),0),$E77)</f>
        <v/>
      </c>
      <c r="F94" s="2" t="str">
        <f t="shared" si="16"/>
        <v/>
      </c>
      <c r="G94" s="2" t="str">
        <f>IFERROR(VLOOKUP(E94,[1]FINAL!$A$2:$M$699,MATCH("Team",[1]FINAL!$A$1:$K$1,0),0),"")</f>
        <v/>
      </c>
      <c r="I94" s="4" t="str">
        <f>IFERROR(VLOOKUP($A94&amp;$E77,DATA!$F$1:$H$500,MATCH("FULL OUT",DATA!$F$1:$H$1,0),0),"")</f>
        <v/>
      </c>
    </row>
    <row r="95" spans="1:9" x14ac:dyDescent="0.25">
      <c r="A95" s="6" t="str">
        <f t="shared" si="15"/>
        <v>GW6</v>
      </c>
      <c r="B95" s="7">
        <v>6</v>
      </c>
      <c r="C95" s="7" t="str">
        <f t="shared" si="14"/>
        <v>GW6-6</v>
      </c>
      <c r="D95" s="1" t="str">
        <f>IFERROR(VLOOKUP(E95,[1]FINAL!$A$2:$J$699,MATCH("Pos",[1]FINAL!$A$1:$J$1,0),0),"")</f>
        <v/>
      </c>
      <c r="E95" s="4" t="str">
        <f>IFERROR(VLOOKUP($A95&amp;$E78,DATA!$F$1:$G$500,MATCH("FULL IN",DATA!$F$1:$G$1,0),0),$E78)</f>
        <v/>
      </c>
      <c r="F95" s="2" t="str">
        <f t="shared" si="16"/>
        <v/>
      </c>
      <c r="G95" s="2" t="str">
        <f>IFERROR(VLOOKUP(E95,[1]FINAL!$A$2:$M$699,MATCH("Team",[1]FINAL!$A$1:$K$1,0),0),"")</f>
        <v/>
      </c>
      <c r="I95" s="4" t="str">
        <f>IFERROR(VLOOKUP($A95&amp;$E78,DATA!$F$1:$H$500,MATCH("FULL OUT",DATA!$F$1:$H$1,0),0),"")</f>
        <v/>
      </c>
    </row>
    <row r="96" spans="1:9" x14ac:dyDescent="0.25">
      <c r="A96" s="6" t="str">
        <f t="shared" si="15"/>
        <v>GW6</v>
      </c>
      <c r="B96" s="7">
        <v>7</v>
      </c>
      <c r="C96" s="7" t="str">
        <f t="shared" si="14"/>
        <v>GW6-7</v>
      </c>
      <c r="D96" s="1" t="str">
        <f>IFERROR(VLOOKUP(E96,[1]FINAL!$A$2:$J$699,MATCH("Pos",[1]FINAL!$A$1:$J$1,0),0),"")</f>
        <v/>
      </c>
      <c r="E96" s="4" t="str">
        <f>IFERROR(VLOOKUP($A96&amp;$E79,DATA!$F$1:$G$500,MATCH("FULL IN",DATA!$F$1:$G$1,0),0),$E79)</f>
        <v/>
      </c>
      <c r="F96" s="2" t="str">
        <f t="shared" si="16"/>
        <v/>
      </c>
      <c r="G96" s="2" t="str">
        <f>IFERROR(VLOOKUP(E96,[1]FINAL!$A$2:$M$699,MATCH("Team",[1]FINAL!$A$1:$K$1,0),0),"")</f>
        <v/>
      </c>
      <c r="I96" s="4" t="str">
        <f>IFERROR(VLOOKUP($A96&amp;$E79,DATA!$F$1:$H$500,MATCH("FULL OUT",DATA!$F$1:$H$1,0),0),"")</f>
        <v/>
      </c>
    </row>
    <row r="97" spans="1:9" x14ac:dyDescent="0.25">
      <c r="A97" s="6" t="str">
        <f t="shared" si="15"/>
        <v>GW6</v>
      </c>
      <c r="B97" s="7">
        <v>8</v>
      </c>
      <c r="C97" s="7" t="str">
        <f t="shared" si="14"/>
        <v>GW6-8</v>
      </c>
      <c r="D97" s="1" t="str">
        <f>IFERROR(VLOOKUP(E97,[1]FINAL!$A$2:$J$699,MATCH("Pos",[1]FINAL!$A$1:$J$1,0),0),"")</f>
        <v/>
      </c>
      <c r="E97" s="4" t="str">
        <f>IFERROR(VLOOKUP($A97&amp;$E80,DATA!$F$1:$G$500,MATCH("FULL IN",DATA!$F$1:$G$1,0),0),$E80)</f>
        <v/>
      </c>
      <c r="F97" s="2" t="str">
        <f t="shared" si="16"/>
        <v/>
      </c>
      <c r="G97" s="2" t="str">
        <f>IFERROR(VLOOKUP(E97,[1]FINAL!$A$2:$M$699,MATCH("Team",[1]FINAL!$A$1:$K$1,0),0),"")</f>
        <v/>
      </c>
      <c r="I97" s="4" t="str">
        <f>IFERROR(VLOOKUP($A97&amp;$E80,DATA!$F$1:$H$500,MATCH("FULL OUT",DATA!$F$1:$H$1,0),0),"")</f>
        <v/>
      </c>
    </row>
    <row r="98" spans="1:9" x14ac:dyDescent="0.25">
      <c r="A98" s="6" t="str">
        <f t="shared" si="15"/>
        <v>GW6</v>
      </c>
      <c r="B98" s="7">
        <v>9</v>
      </c>
      <c r="C98" s="7" t="str">
        <f t="shared" si="14"/>
        <v>GW6-9</v>
      </c>
      <c r="D98" s="1" t="str">
        <f>IFERROR(VLOOKUP(E98,[1]FINAL!$A$2:$J$699,MATCH("Pos",[1]FINAL!$A$1:$J$1,0),0),"")</f>
        <v/>
      </c>
      <c r="E98" s="4" t="str">
        <f>IFERROR(VLOOKUP($A98&amp;$E81,DATA!$F$1:$G$500,MATCH("FULL IN",DATA!$F$1:$G$1,0),0),$E81)</f>
        <v/>
      </c>
      <c r="F98" s="2" t="str">
        <f t="shared" si="16"/>
        <v/>
      </c>
      <c r="G98" s="2" t="str">
        <f>IFERROR(VLOOKUP(E98,[1]FINAL!$A$2:$M$699,MATCH("Team",[1]FINAL!$A$1:$K$1,0),0),"")</f>
        <v/>
      </c>
      <c r="I98" s="4" t="str">
        <f>IFERROR(VLOOKUP($A98&amp;$E81,DATA!$F$1:$H$500,MATCH("FULL OUT",DATA!$F$1:$H$1,0),0),"")</f>
        <v/>
      </c>
    </row>
    <row r="99" spans="1:9" x14ac:dyDescent="0.25">
      <c r="A99" s="6" t="str">
        <f t="shared" si="15"/>
        <v>GW6</v>
      </c>
      <c r="B99" s="7">
        <v>10</v>
      </c>
      <c r="C99" s="7" t="str">
        <f t="shared" si="14"/>
        <v>GW6-10</v>
      </c>
      <c r="D99" s="1" t="str">
        <f>IFERROR(VLOOKUP(E99,[1]FINAL!$A$2:$J$699,MATCH("Pos",[1]FINAL!$A$1:$J$1,0),0),"")</f>
        <v/>
      </c>
      <c r="E99" s="4" t="str">
        <f>IFERROR(VLOOKUP($A99&amp;$E82,DATA!$F$1:$G$500,MATCH("FULL IN",DATA!$F$1:$G$1,0),0),$E82)</f>
        <v/>
      </c>
      <c r="F99" s="2" t="str">
        <f t="shared" si="16"/>
        <v/>
      </c>
      <c r="G99" s="2" t="str">
        <f>IFERROR(VLOOKUP(E99,[1]FINAL!$A$2:$M$699,MATCH("Team",[1]FINAL!$A$1:$K$1,0),0),"")</f>
        <v/>
      </c>
      <c r="I99" s="4" t="str">
        <f>IFERROR(VLOOKUP($A99&amp;$E82,DATA!$F$1:$H$500,MATCH("FULL OUT",DATA!$F$1:$H$1,0),0),"")</f>
        <v/>
      </c>
    </row>
    <row r="100" spans="1:9" x14ac:dyDescent="0.25">
      <c r="A100" s="6" t="str">
        <f t="shared" si="15"/>
        <v>GW6</v>
      </c>
      <c r="B100" s="7">
        <v>11</v>
      </c>
      <c r="C100" s="7" t="str">
        <f t="shared" si="14"/>
        <v>GW6-11</v>
      </c>
      <c r="D100" s="1" t="str">
        <f>IFERROR(VLOOKUP(E100,[1]FINAL!$A$2:$J$699,MATCH("Pos",[1]FINAL!$A$1:$J$1,0),0),"")</f>
        <v/>
      </c>
      <c r="E100" s="4" t="str">
        <f>IFERROR(VLOOKUP($A100&amp;$E83,DATA!$F$1:$G$500,MATCH("FULL IN",DATA!$F$1:$G$1,0),0),$E83)</f>
        <v/>
      </c>
      <c r="F100" s="2" t="str">
        <f t="shared" si="16"/>
        <v/>
      </c>
      <c r="G100" s="2" t="str">
        <f>IFERROR(VLOOKUP(E100,[1]FINAL!$A$2:$M$699,MATCH("Team",[1]FINAL!$A$1:$K$1,0),0),"")</f>
        <v/>
      </c>
      <c r="I100" s="4" t="str">
        <f>IFERROR(VLOOKUP($A100&amp;$E83,DATA!$F$1:$H$500,MATCH("FULL OUT",DATA!$F$1:$H$1,0),0),"")</f>
        <v/>
      </c>
    </row>
    <row r="101" spans="1:9" x14ac:dyDescent="0.25">
      <c r="A101" s="6" t="str">
        <f t="shared" si="15"/>
        <v>GW6</v>
      </c>
      <c r="B101" s="7">
        <v>12</v>
      </c>
      <c r="C101" s="7" t="str">
        <f t="shared" si="14"/>
        <v>GW6-12</v>
      </c>
      <c r="D101" s="1" t="str">
        <f>IFERROR(VLOOKUP(E101,[1]FINAL!$A$2:$J$699,MATCH("Pos",[1]FINAL!$A$1:$J$1,0),0),"")</f>
        <v/>
      </c>
      <c r="E101" s="4" t="str">
        <f>IFERROR(VLOOKUP($A101&amp;$E84,DATA!$F$1:$G$500,MATCH("FULL IN",DATA!$F$1:$G$1,0),0),$E84)</f>
        <v/>
      </c>
      <c r="F101" s="2" t="str">
        <f t="shared" si="16"/>
        <v/>
      </c>
      <c r="G101" s="2" t="str">
        <f>IFERROR(VLOOKUP(E101,[1]FINAL!$A$2:$M$699,MATCH("Team",[1]FINAL!$A$1:$K$1,0),0),"")</f>
        <v/>
      </c>
      <c r="I101" s="4" t="str">
        <f>IFERROR(VLOOKUP($A101&amp;$E84,DATA!$F$1:$H$500,MATCH("FULL OUT",DATA!$F$1:$H$1,0),0),"")</f>
        <v/>
      </c>
    </row>
    <row r="102" spans="1:9" x14ac:dyDescent="0.25">
      <c r="A102" s="6" t="str">
        <f t="shared" si="15"/>
        <v>GW6</v>
      </c>
      <c r="B102" s="7">
        <v>13</v>
      </c>
      <c r="C102" s="7" t="str">
        <f t="shared" si="14"/>
        <v>GW6-13</v>
      </c>
      <c r="D102" s="1" t="str">
        <f>IFERROR(VLOOKUP(E102,[1]FINAL!$A$2:$J$699,MATCH("Pos",[1]FINAL!$A$1:$J$1,0),0),"")</f>
        <v/>
      </c>
      <c r="E102" s="4" t="str">
        <f>IFERROR(VLOOKUP($A102&amp;$E85,DATA!$F$1:$G$500,MATCH("FULL IN",DATA!$F$1:$G$1,0),0),$E85)</f>
        <v/>
      </c>
      <c r="F102" s="2" t="str">
        <f t="shared" si="16"/>
        <v/>
      </c>
      <c r="G102" s="2" t="str">
        <f>IFERROR(VLOOKUP(E102,[1]FINAL!$A$2:$M$699,MATCH("Team",[1]FINAL!$A$1:$K$1,0),0),"")</f>
        <v/>
      </c>
      <c r="I102" s="4" t="str">
        <f>IFERROR(VLOOKUP($A102&amp;$E85,DATA!$F$1:$H$500,MATCH("FULL OUT",DATA!$F$1:$H$1,0),0),"")</f>
        <v/>
      </c>
    </row>
    <row r="103" spans="1:9" x14ac:dyDescent="0.25">
      <c r="A103" s="6" t="str">
        <f t="shared" si="15"/>
        <v>GW6</v>
      </c>
      <c r="B103" s="7">
        <v>14</v>
      </c>
      <c r="C103" s="7" t="str">
        <f t="shared" si="14"/>
        <v>GW6-14</v>
      </c>
      <c r="D103" s="1" t="str">
        <f>IFERROR(VLOOKUP(E103,[1]FINAL!$A$2:$J$699,MATCH("Pos",[1]FINAL!$A$1:$J$1,0),0),"")</f>
        <v/>
      </c>
      <c r="E103" s="4" t="str">
        <f>IFERROR(VLOOKUP($A103&amp;$E86,DATA!$F$1:$G$500,MATCH("FULL IN",DATA!$F$1:$G$1,0),0),$E86)</f>
        <v/>
      </c>
      <c r="F103" s="2" t="str">
        <f t="shared" si="16"/>
        <v/>
      </c>
      <c r="G103" s="2" t="str">
        <f>IFERROR(VLOOKUP(E103,[1]FINAL!$A$2:$M$699,MATCH("Team",[1]FINAL!$A$1:$K$1,0),0),"")</f>
        <v/>
      </c>
      <c r="I103" s="4" t="str">
        <f>IFERROR(VLOOKUP($A103&amp;$E86,DATA!$F$1:$H$500,MATCH("FULL OUT",DATA!$F$1:$H$1,0),0),"")</f>
        <v/>
      </c>
    </row>
    <row r="104" spans="1:9" x14ac:dyDescent="0.25">
      <c r="A104" s="6" t="str">
        <f t="shared" si="15"/>
        <v>GW6</v>
      </c>
      <c r="B104" s="7">
        <v>15</v>
      </c>
      <c r="C104" s="7" t="str">
        <f t="shared" si="14"/>
        <v>GW6-15</v>
      </c>
      <c r="D104" s="1" t="str">
        <f>IFERROR(VLOOKUP(E104,[1]FINAL!$A$2:$J$699,MATCH("Pos",[1]FINAL!$A$1:$J$1,0),0),"")</f>
        <v/>
      </c>
      <c r="E104" s="4" t="str">
        <f>IFERROR(VLOOKUP($A104&amp;$E87,DATA!$F$1:$G$500,MATCH("FULL IN",DATA!$F$1:$G$1,0),0),$E87)</f>
        <v/>
      </c>
      <c r="F104" s="2" t="str">
        <f t="shared" si="16"/>
        <v/>
      </c>
      <c r="G104" s="2" t="str">
        <f>IFERROR(VLOOKUP(E104,[1]FINAL!$A$2:$M$699,MATCH("Team",[1]FINAL!$A$1:$K$1,0),0),"")</f>
        <v/>
      </c>
      <c r="I104" s="4" t="str">
        <f>IFERROR(VLOOKUP($A104&amp;$E87,DATA!$F$1:$H$500,MATCH("FULL OUT",DATA!$F$1:$H$1,0),0),"")</f>
        <v/>
      </c>
    </row>
    <row r="107" spans="1:9" x14ac:dyDescent="0.25">
      <c r="A107" s="6" t="s">
        <v>9</v>
      </c>
      <c r="B107" s="7">
        <v>1</v>
      </c>
      <c r="C107" s="7" t="str">
        <f>A107&amp;-B107</f>
        <v>GW7-1</v>
      </c>
      <c r="D107" s="1" t="str">
        <f>IFERROR(VLOOKUP(E107,[1]FINAL!$A$2:$J$699,MATCH("Pos",[1]FINAL!$A$1:$J$1,0),0),"")</f>
        <v/>
      </c>
      <c r="E107" s="4" t="str">
        <f>IFERROR(VLOOKUP($A107&amp;$E90,DATA!$F$1:$G$500,MATCH("FULL IN",DATA!$F$1:$G$1,0),0),$E90)</f>
        <v>Player Name</v>
      </c>
      <c r="G107" s="2" t="str">
        <f>IFERROR(VLOOKUP(E107,[1]FINAL!$A$2:$M$699,MATCH("Team",[1]FINAL!$A$1:$K$1,0),0),"")</f>
        <v/>
      </c>
      <c r="I107" s="4" t="str">
        <f>IFERROR(VLOOKUP($A107&amp;$E90,DATA!$F$1:$H$500,MATCH("FULL OUT",DATA!$F$1:$H$1,0),0),"")</f>
        <v/>
      </c>
    </row>
    <row r="108" spans="1:9" x14ac:dyDescent="0.25">
      <c r="A108" s="6" t="str">
        <f>A107</f>
        <v>GW7</v>
      </c>
      <c r="B108" s="7">
        <v>2</v>
      </c>
      <c r="C108" s="7" t="str">
        <f t="shared" ref="C108:C121" si="17">A108&amp;-B108</f>
        <v>GW7-2</v>
      </c>
      <c r="D108" s="1" t="str">
        <f>IFERROR(VLOOKUP(E108,[1]FINAL!$A$2:$J$699,MATCH("Pos",[1]FINAL!$A$1:$J$1,0),0),"")</f>
        <v/>
      </c>
      <c r="E108" s="4" t="str">
        <f>IFERROR(VLOOKUP($A108&amp;$E91,DATA!$F$1:$G$500,MATCH("FULL IN",DATA!$F$1:$G$1,0),0),$E91)</f>
        <v/>
      </c>
      <c r="F108" s="2" t="str">
        <f>IF(Z108="","","IN")</f>
        <v/>
      </c>
      <c r="G108" s="2" t="str">
        <f>IFERROR(VLOOKUP(E108,[1]FINAL!$A$2:$M$699,MATCH("Team",[1]FINAL!$A$1:$K$1,0),0),"")</f>
        <v/>
      </c>
      <c r="I108" s="4" t="str">
        <f>IFERROR(VLOOKUP($A108&amp;$E91,DATA!$F$1:$H$500,MATCH("FULL OUT",DATA!$F$1:$H$1,0),0),"")</f>
        <v/>
      </c>
    </row>
    <row r="109" spans="1:9" x14ac:dyDescent="0.25">
      <c r="A109" s="6" t="str">
        <f t="shared" ref="A109:A121" si="18">A108</f>
        <v>GW7</v>
      </c>
      <c r="B109" s="7">
        <v>3</v>
      </c>
      <c r="C109" s="7" t="str">
        <f t="shared" si="17"/>
        <v>GW7-3</v>
      </c>
      <c r="D109" s="1" t="str">
        <f>IFERROR(VLOOKUP(E109,[1]FINAL!$A$2:$J$699,MATCH("Pos",[1]FINAL!$A$1:$J$1,0),0),"")</f>
        <v/>
      </c>
      <c r="E109" s="4" t="str">
        <f>IFERROR(VLOOKUP($A109&amp;$E92,DATA!$F$1:$G$500,MATCH("FULL IN",DATA!$F$1:$G$1,0),0),$E92)</f>
        <v/>
      </c>
      <c r="F109" s="2" t="str">
        <f t="shared" ref="F109:F121" si="19">IF(Z109="","","IN")</f>
        <v/>
      </c>
      <c r="G109" s="2" t="str">
        <f>IFERROR(VLOOKUP(E109,[1]FINAL!$A$2:$M$699,MATCH("Team",[1]FINAL!$A$1:$K$1,0),0),"")</f>
        <v/>
      </c>
      <c r="I109" s="4" t="str">
        <f>IFERROR(VLOOKUP($A109&amp;$E92,DATA!$F$1:$H$500,MATCH("FULL OUT",DATA!$F$1:$H$1,0),0),"")</f>
        <v/>
      </c>
    </row>
    <row r="110" spans="1:9" x14ac:dyDescent="0.25">
      <c r="A110" s="6" t="str">
        <f t="shared" si="18"/>
        <v>GW7</v>
      </c>
      <c r="B110" s="7">
        <v>4</v>
      </c>
      <c r="C110" s="7" t="str">
        <f t="shared" si="17"/>
        <v>GW7-4</v>
      </c>
      <c r="D110" s="1" t="str">
        <f>IFERROR(VLOOKUP(E110,[1]FINAL!$A$2:$J$699,MATCH("Pos",[1]FINAL!$A$1:$J$1,0),0),"")</f>
        <v/>
      </c>
      <c r="E110" s="4" t="str">
        <f>IFERROR(VLOOKUP($A110&amp;$E93,DATA!$F$1:$G$500,MATCH("FULL IN",DATA!$F$1:$G$1,0),0),$E93)</f>
        <v/>
      </c>
      <c r="F110" s="2" t="str">
        <f t="shared" si="19"/>
        <v/>
      </c>
      <c r="G110" s="2" t="str">
        <f>IFERROR(VLOOKUP(E110,[1]FINAL!$A$2:$M$699,MATCH("Team",[1]FINAL!$A$1:$K$1,0),0),"")</f>
        <v/>
      </c>
      <c r="I110" s="4" t="str">
        <f>IFERROR(VLOOKUP($A110&amp;$E93,DATA!$F$1:$H$500,MATCH("FULL OUT",DATA!$F$1:$H$1,0),0),"")</f>
        <v/>
      </c>
    </row>
    <row r="111" spans="1:9" x14ac:dyDescent="0.25">
      <c r="A111" s="6" t="str">
        <f t="shared" si="18"/>
        <v>GW7</v>
      </c>
      <c r="B111" s="7">
        <v>5</v>
      </c>
      <c r="C111" s="7" t="str">
        <f t="shared" si="17"/>
        <v>GW7-5</v>
      </c>
      <c r="D111" s="1" t="str">
        <f>IFERROR(VLOOKUP(E111,[1]FINAL!$A$2:$J$699,MATCH("Pos",[1]FINAL!$A$1:$J$1,0),0),"")</f>
        <v/>
      </c>
      <c r="E111" s="4" t="str">
        <f>IFERROR(VLOOKUP($A111&amp;$E94,DATA!$F$1:$G$500,MATCH("FULL IN",DATA!$F$1:$G$1,0),0),$E94)</f>
        <v/>
      </c>
      <c r="F111" s="2" t="str">
        <f t="shared" si="19"/>
        <v/>
      </c>
      <c r="G111" s="2" t="str">
        <f>IFERROR(VLOOKUP(E111,[1]FINAL!$A$2:$M$699,MATCH("Team",[1]FINAL!$A$1:$K$1,0),0),"")</f>
        <v/>
      </c>
      <c r="I111" s="4" t="str">
        <f>IFERROR(VLOOKUP($A111&amp;$E94,DATA!$F$1:$H$500,MATCH("FULL OUT",DATA!$F$1:$H$1,0),0),"")</f>
        <v/>
      </c>
    </row>
    <row r="112" spans="1:9" x14ac:dyDescent="0.25">
      <c r="A112" s="6" t="str">
        <f t="shared" si="18"/>
        <v>GW7</v>
      </c>
      <c r="B112" s="7">
        <v>6</v>
      </c>
      <c r="C112" s="7" t="str">
        <f t="shared" si="17"/>
        <v>GW7-6</v>
      </c>
      <c r="D112" s="1" t="str">
        <f>IFERROR(VLOOKUP(E112,[1]FINAL!$A$2:$J$699,MATCH("Pos",[1]FINAL!$A$1:$J$1,0),0),"")</f>
        <v/>
      </c>
      <c r="E112" s="4" t="str">
        <f>IFERROR(VLOOKUP($A112&amp;$E95,DATA!$F$1:$G$500,MATCH("FULL IN",DATA!$F$1:$G$1,0),0),$E95)</f>
        <v/>
      </c>
      <c r="F112" s="2" t="str">
        <f t="shared" si="19"/>
        <v/>
      </c>
      <c r="G112" s="2" t="str">
        <f>IFERROR(VLOOKUP(E112,[1]FINAL!$A$2:$M$699,MATCH("Team",[1]FINAL!$A$1:$K$1,0),0),"")</f>
        <v/>
      </c>
      <c r="I112" s="4" t="str">
        <f>IFERROR(VLOOKUP($A112&amp;$E95,DATA!$F$1:$H$500,MATCH("FULL OUT",DATA!$F$1:$H$1,0),0),"")</f>
        <v/>
      </c>
    </row>
    <row r="113" spans="1:9" x14ac:dyDescent="0.25">
      <c r="A113" s="6" t="str">
        <f t="shared" si="18"/>
        <v>GW7</v>
      </c>
      <c r="B113" s="7">
        <v>7</v>
      </c>
      <c r="C113" s="7" t="str">
        <f t="shared" si="17"/>
        <v>GW7-7</v>
      </c>
      <c r="D113" s="1" t="str">
        <f>IFERROR(VLOOKUP(E113,[1]FINAL!$A$2:$J$699,MATCH("Pos",[1]FINAL!$A$1:$J$1,0),0),"")</f>
        <v/>
      </c>
      <c r="E113" s="4" t="str">
        <f>IFERROR(VLOOKUP($A113&amp;$E96,DATA!$F$1:$G$500,MATCH("FULL IN",DATA!$F$1:$G$1,0),0),$E96)</f>
        <v/>
      </c>
      <c r="F113" s="2" t="str">
        <f t="shared" si="19"/>
        <v/>
      </c>
      <c r="G113" s="2" t="str">
        <f>IFERROR(VLOOKUP(E113,[1]FINAL!$A$2:$M$699,MATCH("Team",[1]FINAL!$A$1:$K$1,0),0),"")</f>
        <v/>
      </c>
      <c r="I113" s="4" t="str">
        <f>IFERROR(VLOOKUP($A113&amp;$E96,DATA!$F$1:$H$500,MATCH("FULL OUT",DATA!$F$1:$H$1,0),0),"")</f>
        <v/>
      </c>
    </row>
    <row r="114" spans="1:9" x14ac:dyDescent="0.25">
      <c r="A114" s="6" t="str">
        <f t="shared" si="18"/>
        <v>GW7</v>
      </c>
      <c r="B114" s="7">
        <v>8</v>
      </c>
      <c r="C114" s="7" t="str">
        <f t="shared" si="17"/>
        <v>GW7-8</v>
      </c>
      <c r="D114" s="1" t="str">
        <f>IFERROR(VLOOKUP(E114,[1]FINAL!$A$2:$J$699,MATCH("Pos",[1]FINAL!$A$1:$J$1,0),0),"")</f>
        <v/>
      </c>
      <c r="E114" s="4" t="str">
        <f>IFERROR(VLOOKUP($A114&amp;$E97,DATA!$F$1:$G$500,MATCH("FULL IN",DATA!$F$1:$G$1,0),0),$E97)</f>
        <v/>
      </c>
      <c r="F114" s="2" t="str">
        <f t="shared" si="19"/>
        <v/>
      </c>
      <c r="G114" s="2" t="str">
        <f>IFERROR(VLOOKUP(E114,[1]FINAL!$A$2:$M$699,MATCH("Team",[1]FINAL!$A$1:$K$1,0),0),"")</f>
        <v/>
      </c>
      <c r="I114" s="4" t="str">
        <f>IFERROR(VLOOKUP($A114&amp;$E97,DATA!$F$1:$H$500,MATCH("FULL OUT",DATA!$F$1:$H$1,0),0),"")</f>
        <v/>
      </c>
    </row>
    <row r="115" spans="1:9" x14ac:dyDescent="0.25">
      <c r="A115" s="6" t="str">
        <f t="shared" si="18"/>
        <v>GW7</v>
      </c>
      <c r="B115" s="7">
        <v>9</v>
      </c>
      <c r="C115" s="7" t="str">
        <f t="shared" si="17"/>
        <v>GW7-9</v>
      </c>
      <c r="D115" s="1" t="str">
        <f>IFERROR(VLOOKUP(E115,[1]FINAL!$A$2:$J$699,MATCH("Pos",[1]FINAL!$A$1:$J$1,0),0),"")</f>
        <v/>
      </c>
      <c r="E115" s="4" t="str">
        <f>IFERROR(VLOOKUP($A115&amp;$E98,DATA!$F$1:$G$500,MATCH("FULL IN",DATA!$F$1:$G$1,0),0),$E98)</f>
        <v/>
      </c>
      <c r="F115" s="2" t="str">
        <f t="shared" si="19"/>
        <v/>
      </c>
      <c r="G115" s="2" t="str">
        <f>IFERROR(VLOOKUP(E115,[1]FINAL!$A$2:$M$699,MATCH("Team",[1]FINAL!$A$1:$K$1,0),0),"")</f>
        <v/>
      </c>
      <c r="I115" s="4" t="str">
        <f>IFERROR(VLOOKUP($A115&amp;$E98,DATA!$F$1:$H$500,MATCH("FULL OUT",DATA!$F$1:$H$1,0),0),"")</f>
        <v/>
      </c>
    </row>
    <row r="116" spans="1:9" x14ac:dyDescent="0.25">
      <c r="A116" s="6" t="str">
        <f t="shared" si="18"/>
        <v>GW7</v>
      </c>
      <c r="B116" s="7">
        <v>10</v>
      </c>
      <c r="C116" s="7" t="str">
        <f t="shared" si="17"/>
        <v>GW7-10</v>
      </c>
      <c r="D116" s="1" t="str">
        <f>IFERROR(VLOOKUP(E116,[1]FINAL!$A$2:$J$699,MATCH("Pos",[1]FINAL!$A$1:$J$1,0),0),"")</f>
        <v/>
      </c>
      <c r="E116" s="4" t="str">
        <f>IFERROR(VLOOKUP($A116&amp;$E99,DATA!$F$1:$G$500,MATCH("FULL IN",DATA!$F$1:$G$1,0),0),$E99)</f>
        <v/>
      </c>
      <c r="F116" s="2" t="str">
        <f t="shared" si="19"/>
        <v/>
      </c>
      <c r="G116" s="2" t="str">
        <f>IFERROR(VLOOKUP(E116,[1]FINAL!$A$2:$M$699,MATCH("Team",[1]FINAL!$A$1:$K$1,0),0),"")</f>
        <v/>
      </c>
      <c r="I116" s="4" t="str">
        <f>IFERROR(VLOOKUP($A116&amp;$E99,DATA!$F$1:$H$500,MATCH("FULL OUT",DATA!$F$1:$H$1,0),0),"")</f>
        <v/>
      </c>
    </row>
    <row r="117" spans="1:9" x14ac:dyDescent="0.25">
      <c r="A117" s="6" t="str">
        <f t="shared" si="18"/>
        <v>GW7</v>
      </c>
      <c r="B117" s="7">
        <v>11</v>
      </c>
      <c r="C117" s="7" t="str">
        <f t="shared" si="17"/>
        <v>GW7-11</v>
      </c>
      <c r="D117" s="1" t="str">
        <f>IFERROR(VLOOKUP(E117,[1]FINAL!$A$2:$J$699,MATCH("Pos",[1]FINAL!$A$1:$J$1,0),0),"")</f>
        <v/>
      </c>
      <c r="E117" s="4" t="str">
        <f>IFERROR(VLOOKUP($A117&amp;$E100,DATA!$F$1:$G$500,MATCH("FULL IN",DATA!$F$1:$G$1,0),0),$E100)</f>
        <v/>
      </c>
      <c r="F117" s="2" t="str">
        <f t="shared" si="19"/>
        <v/>
      </c>
      <c r="G117" s="2" t="str">
        <f>IFERROR(VLOOKUP(E117,[1]FINAL!$A$2:$M$699,MATCH("Team",[1]FINAL!$A$1:$K$1,0),0),"")</f>
        <v/>
      </c>
      <c r="I117" s="4" t="str">
        <f>IFERROR(VLOOKUP($A117&amp;$E100,DATA!$F$1:$H$500,MATCH("FULL OUT",DATA!$F$1:$H$1,0),0),"")</f>
        <v/>
      </c>
    </row>
    <row r="118" spans="1:9" x14ac:dyDescent="0.25">
      <c r="A118" s="6" t="str">
        <f t="shared" si="18"/>
        <v>GW7</v>
      </c>
      <c r="B118" s="7">
        <v>12</v>
      </c>
      <c r="C118" s="7" t="str">
        <f t="shared" si="17"/>
        <v>GW7-12</v>
      </c>
      <c r="D118" s="1" t="str">
        <f>IFERROR(VLOOKUP(E118,[1]FINAL!$A$2:$J$699,MATCH("Pos",[1]FINAL!$A$1:$J$1,0),0),"")</f>
        <v/>
      </c>
      <c r="E118" s="4" t="str">
        <f>IFERROR(VLOOKUP($A118&amp;$E101,DATA!$F$1:$G$500,MATCH("FULL IN",DATA!$F$1:$G$1,0),0),$E101)</f>
        <v/>
      </c>
      <c r="F118" s="2" t="str">
        <f t="shared" si="19"/>
        <v/>
      </c>
      <c r="G118" s="2" t="str">
        <f>IFERROR(VLOOKUP(E118,[1]FINAL!$A$2:$M$699,MATCH("Team",[1]FINAL!$A$1:$K$1,0),0),"")</f>
        <v/>
      </c>
      <c r="I118" s="4" t="str">
        <f>IFERROR(VLOOKUP($A118&amp;$E101,DATA!$F$1:$H$500,MATCH("FULL OUT",DATA!$F$1:$H$1,0),0),"")</f>
        <v/>
      </c>
    </row>
    <row r="119" spans="1:9" x14ac:dyDescent="0.25">
      <c r="A119" s="6" t="str">
        <f t="shared" si="18"/>
        <v>GW7</v>
      </c>
      <c r="B119" s="7">
        <v>13</v>
      </c>
      <c r="C119" s="7" t="str">
        <f t="shared" si="17"/>
        <v>GW7-13</v>
      </c>
      <c r="D119" s="1" t="str">
        <f>IFERROR(VLOOKUP(E119,[1]FINAL!$A$2:$J$699,MATCH("Pos",[1]FINAL!$A$1:$J$1,0),0),"")</f>
        <v/>
      </c>
      <c r="E119" s="4" t="str">
        <f>IFERROR(VLOOKUP($A119&amp;$E102,DATA!$F$1:$G$500,MATCH("FULL IN",DATA!$F$1:$G$1,0),0),$E102)</f>
        <v/>
      </c>
      <c r="F119" s="2" t="str">
        <f t="shared" si="19"/>
        <v/>
      </c>
      <c r="G119" s="2" t="str">
        <f>IFERROR(VLOOKUP(E119,[1]FINAL!$A$2:$M$699,MATCH("Team",[1]FINAL!$A$1:$K$1,0),0),"")</f>
        <v/>
      </c>
      <c r="I119" s="4" t="str">
        <f>IFERROR(VLOOKUP($A119&amp;$E102,DATA!$F$1:$H$500,MATCH("FULL OUT",DATA!$F$1:$H$1,0),0),"")</f>
        <v/>
      </c>
    </row>
    <row r="120" spans="1:9" x14ac:dyDescent="0.25">
      <c r="A120" s="6" t="str">
        <f t="shared" si="18"/>
        <v>GW7</v>
      </c>
      <c r="B120" s="7">
        <v>14</v>
      </c>
      <c r="C120" s="7" t="str">
        <f t="shared" si="17"/>
        <v>GW7-14</v>
      </c>
      <c r="D120" s="1" t="str">
        <f>IFERROR(VLOOKUP(E120,[1]FINAL!$A$2:$J$699,MATCH("Pos",[1]FINAL!$A$1:$J$1,0),0),"")</f>
        <v/>
      </c>
      <c r="E120" s="4" t="str">
        <f>IFERROR(VLOOKUP($A120&amp;$E103,DATA!$F$1:$G$500,MATCH("FULL IN",DATA!$F$1:$G$1,0),0),$E103)</f>
        <v/>
      </c>
      <c r="F120" s="2" t="str">
        <f t="shared" si="19"/>
        <v/>
      </c>
      <c r="G120" s="2" t="str">
        <f>IFERROR(VLOOKUP(E120,[1]FINAL!$A$2:$M$699,MATCH("Team",[1]FINAL!$A$1:$K$1,0),0),"")</f>
        <v/>
      </c>
      <c r="I120" s="4" t="str">
        <f>IFERROR(VLOOKUP($A120&amp;$E103,DATA!$F$1:$H$500,MATCH("FULL OUT",DATA!$F$1:$H$1,0),0),"")</f>
        <v/>
      </c>
    </row>
    <row r="121" spans="1:9" x14ac:dyDescent="0.25">
      <c r="A121" s="6" t="str">
        <f t="shared" si="18"/>
        <v>GW7</v>
      </c>
      <c r="B121" s="7">
        <v>15</v>
      </c>
      <c r="C121" s="7" t="str">
        <f t="shared" si="17"/>
        <v>GW7-15</v>
      </c>
      <c r="D121" s="1" t="str">
        <f>IFERROR(VLOOKUP(E121,[1]FINAL!$A$2:$J$699,MATCH("Pos",[1]FINAL!$A$1:$J$1,0),0),"")</f>
        <v/>
      </c>
      <c r="E121" s="4" t="str">
        <f>IFERROR(VLOOKUP($A121&amp;$E104,DATA!$F$1:$G$500,MATCH("FULL IN",DATA!$F$1:$G$1,0),0),$E104)</f>
        <v/>
      </c>
      <c r="F121" s="2" t="str">
        <f t="shared" si="19"/>
        <v/>
      </c>
      <c r="G121" s="2" t="str">
        <f>IFERROR(VLOOKUP(E121,[1]FINAL!$A$2:$M$699,MATCH("Team",[1]FINAL!$A$1:$K$1,0),0),"")</f>
        <v/>
      </c>
      <c r="I121" s="4" t="str">
        <f>IFERROR(VLOOKUP($A121&amp;$E104,DATA!$F$1:$H$500,MATCH("FULL OUT",DATA!$F$1:$H$1,0),0),"")</f>
        <v/>
      </c>
    </row>
    <row r="124" spans="1:9" x14ac:dyDescent="0.25">
      <c r="A124" s="6" t="s">
        <v>10</v>
      </c>
      <c r="B124" s="7">
        <v>1</v>
      </c>
      <c r="C124" s="7" t="str">
        <f>A124&amp;-B124</f>
        <v>GW8-1</v>
      </c>
      <c r="D124" s="1" t="str">
        <f>IFERROR(VLOOKUP(E124,[1]FINAL!$A$2:$J$699,MATCH("Pos",[1]FINAL!$A$1:$J$1,0),0),"")</f>
        <v/>
      </c>
      <c r="E124" s="4" t="str">
        <f>IFERROR(VLOOKUP($A124&amp;$E107,DATA!$F$1:$G$500,MATCH("FULL IN",DATA!$F$1:$G$1,0),0),$E107)</f>
        <v>Player Name</v>
      </c>
      <c r="G124" s="2" t="str">
        <f>IFERROR(VLOOKUP(E124,[1]FINAL!$A$2:$M$699,MATCH("Team",[1]FINAL!$A$1:$K$1,0),0),"")</f>
        <v/>
      </c>
      <c r="I124" s="4" t="str">
        <f>IFERROR(VLOOKUP($A124&amp;$E107,DATA!$F$1:$H$500,MATCH("FULL OUT",DATA!$F$1:$H$1,0),0),"")</f>
        <v/>
      </c>
    </row>
    <row r="125" spans="1:9" x14ac:dyDescent="0.25">
      <c r="A125" s="6" t="str">
        <f>A124</f>
        <v>GW8</v>
      </c>
      <c r="B125" s="7">
        <v>2</v>
      </c>
      <c r="C125" s="7" t="str">
        <f t="shared" ref="C125:C138" si="20">A125&amp;-B125</f>
        <v>GW8-2</v>
      </c>
      <c r="D125" s="1" t="str">
        <f>IFERROR(VLOOKUP(E125,[1]FINAL!$A$2:$J$699,MATCH("Pos",[1]FINAL!$A$1:$J$1,0),0),"")</f>
        <v/>
      </c>
      <c r="E125" s="4" t="str">
        <f>IFERROR(VLOOKUP($A125&amp;$E108,DATA!$F$1:$G$500,MATCH("FULL IN",DATA!$F$1:$G$1,0),0),$E108)</f>
        <v/>
      </c>
      <c r="F125" s="2" t="str">
        <f>IF(Z125="","","IN")</f>
        <v/>
      </c>
      <c r="G125" s="2" t="str">
        <f>IFERROR(VLOOKUP(E125,[1]FINAL!$A$2:$M$699,MATCH("Team",[1]FINAL!$A$1:$K$1,0),0),"")</f>
        <v/>
      </c>
      <c r="I125" s="4" t="str">
        <f>IFERROR(VLOOKUP($A125&amp;$E108,DATA!$F$1:$H$500,MATCH("FULL OUT",DATA!$F$1:$H$1,0),0),"")</f>
        <v/>
      </c>
    </row>
    <row r="126" spans="1:9" x14ac:dyDescent="0.25">
      <c r="A126" s="6" t="str">
        <f t="shared" ref="A126:A138" si="21">A125</f>
        <v>GW8</v>
      </c>
      <c r="B126" s="7">
        <v>3</v>
      </c>
      <c r="C126" s="7" t="str">
        <f t="shared" si="20"/>
        <v>GW8-3</v>
      </c>
      <c r="D126" s="1" t="str">
        <f>IFERROR(VLOOKUP(E126,[1]FINAL!$A$2:$J$699,MATCH("Pos",[1]FINAL!$A$1:$J$1,0),0),"")</f>
        <v/>
      </c>
      <c r="E126" s="4" t="str">
        <f>IFERROR(VLOOKUP($A126&amp;$E109,DATA!$F$1:$G$500,MATCH("FULL IN",DATA!$F$1:$G$1,0),0),$E109)</f>
        <v/>
      </c>
      <c r="F126" s="2" t="str">
        <f t="shared" ref="F126:F138" si="22">IF(Z126="","","IN")</f>
        <v/>
      </c>
      <c r="G126" s="2" t="str">
        <f>IFERROR(VLOOKUP(E126,[1]FINAL!$A$2:$M$699,MATCH("Team",[1]FINAL!$A$1:$K$1,0),0),"")</f>
        <v/>
      </c>
      <c r="I126" s="4" t="str">
        <f>IFERROR(VLOOKUP($A126&amp;$E109,DATA!$F$1:$H$500,MATCH("FULL OUT",DATA!$F$1:$H$1,0),0),"")</f>
        <v/>
      </c>
    </row>
    <row r="127" spans="1:9" x14ac:dyDescent="0.25">
      <c r="A127" s="6" t="str">
        <f t="shared" si="21"/>
        <v>GW8</v>
      </c>
      <c r="B127" s="7">
        <v>4</v>
      </c>
      <c r="C127" s="7" t="str">
        <f t="shared" si="20"/>
        <v>GW8-4</v>
      </c>
      <c r="D127" s="1" t="str">
        <f>IFERROR(VLOOKUP(E127,[1]FINAL!$A$2:$J$699,MATCH("Pos",[1]FINAL!$A$1:$J$1,0),0),"")</f>
        <v/>
      </c>
      <c r="E127" s="4" t="str">
        <f>IFERROR(VLOOKUP($A127&amp;$E110,DATA!$F$1:$G$500,MATCH("FULL IN",DATA!$F$1:$G$1,0),0),$E110)</f>
        <v/>
      </c>
      <c r="F127" s="2" t="str">
        <f t="shared" si="22"/>
        <v/>
      </c>
      <c r="G127" s="2" t="str">
        <f>IFERROR(VLOOKUP(E127,[1]FINAL!$A$2:$M$699,MATCH("Team",[1]FINAL!$A$1:$K$1,0),0),"")</f>
        <v/>
      </c>
      <c r="I127" s="4" t="str">
        <f>IFERROR(VLOOKUP($A127&amp;$E110,DATA!$F$1:$H$500,MATCH("FULL OUT",DATA!$F$1:$H$1,0),0),"")</f>
        <v/>
      </c>
    </row>
    <row r="128" spans="1:9" x14ac:dyDescent="0.25">
      <c r="A128" s="6" t="str">
        <f t="shared" si="21"/>
        <v>GW8</v>
      </c>
      <c r="B128" s="7">
        <v>5</v>
      </c>
      <c r="C128" s="7" t="str">
        <f t="shared" si="20"/>
        <v>GW8-5</v>
      </c>
      <c r="D128" s="1" t="str">
        <f>IFERROR(VLOOKUP(E128,[1]FINAL!$A$2:$J$699,MATCH("Pos",[1]FINAL!$A$1:$J$1,0),0),"")</f>
        <v/>
      </c>
      <c r="E128" s="4" t="str">
        <f>IFERROR(VLOOKUP($A128&amp;$E111,DATA!$F$1:$G$500,MATCH("FULL IN",DATA!$F$1:$G$1,0),0),$E111)</f>
        <v/>
      </c>
      <c r="F128" s="2" t="str">
        <f t="shared" si="22"/>
        <v/>
      </c>
      <c r="G128" s="2" t="str">
        <f>IFERROR(VLOOKUP(E128,[1]FINAL!$A$2:$M$699,MATCH("Team",[1]FINAL!$A$1:$K$1,0),0),"")</f>
        <v/>
      </c>
      <c r="I128" s="4" t="str">
        <f>IFERROR(VLOOKUP($A128&amp;$E111,DATA!$F$1:$H$500,MATCH("FULL OUT",DATA!$F$1:$H$1,0),0),"")</f>
        <v/>
      </c>
    </row>
    <row r="129" spans="1:9" x14ac:dyDescent="0.25">
      <c r="A129" s="6" t="str">
        <f t="shared" si="21"/>
        <v>GW8</v>
      </c>
      <c r="B129" s="7">
        <v>6</v>
      </c>
      <c r="C129" s="7" t="str">
        <f t="shared" si="20"/>
        <v>GW8-6</v>
      </c>
      <c r="D129" s="1" t="str">
        <f>IFERROR(VLOOKUP(E129,[1]FINAL!$A$2:$J$699,MATCH("Pos",[1]FINAL!$A$1:$J$1,0),0),"")</f>
        <v/>
      </c>
      <c r="E129" s="4" t="str">
        <f>IFERROR(VLOOKUP($A129&amp;$E112,DATA!$F$1:$G$500,MATCH("FULL IN",DATA!$F$1:$G$1,0),0),$E112)</f>
        <v/>
      </c>
      <c r="F129" s="2" t="str">
        <f t="shared" si="22"/>
        <v/>
      </c>
      <c r="G129" s="2" t="str">
        <f>IFERROR(VLOOKUP(E129,[1]FINAL!$A$2:$M$699,MATCH("Team",[1]FINAL!$A$1:$K$1,0),0),"")</f>
        <v/>
      </c>
      <c r="I129" s="4" t="str">
        <f>IFERROR(VLOOKUP($A129&amp;$E112,DATA!$F$1:$H$500,MATCH("FULL OUT",DATA!$F$1:$H$1,0),0),"")</f>
        <v/>
      </c>
    </row>
    <row r="130" spans="1:9" x14ac:dyDescent="0.25">
      <c r="A130" s="6" t="str">
        <f t="shared" si="21"/>
        <v>GW8</v>
      </c>
      <c r="B130" s="7">
        <v>7</v>
      </c>
      <c r="C130" s="7" t="str">
        <f t="shared" si="20"/>
        <v>GW8-7</v>
      </c>
      <c r="D130" s="1" t="str">
        <f>IFERROR(VLOOKUP(E130,[1]FINAL!$A$2:$J$699,MATCH("Pos",[1]FINAL!$A$1:$J$1,0),0),"")</f>
        <v/>
      </c>
      <c r="E130" s="4" t="str">
        <f>IFERROR(VLOOKUP($A130&amp;$E113,DATA!$F$1:$G$500,MATCH("FULL IN",DATA!$F$1:$G$1,0),0),$E113)</f>
        <v/>
      </c>
      <c r="F130" s="2" t="str">
        <f t="shared" si="22"/>
        <v/>
      </c>
      <c r="G130" s="2" t="str">
        <f>IFERROR(VLOOKUP(E130,[1]FINAL!$A$2:$M$699,MATCH("Team",[1]FINAL!$A$1:$K$1,0),0),"")</f>
        <v/>
      </c>
      <c r="I130" s="4" t="str">
        <f>IFERROR(VLOOKUP($A130&amp;$E113,DATA!$F$1:$H$500,MATCH("FULL OUT",DATA!$F$1:$H$1,0),0),"")</f>
        <v/>
      </c>
    </row>
    <row r="131" spans="1:9" x14ac:dyDescent="0.25">
      <c r="A131" s="6" t="str">
        <f t="shared" si="21"/>
        <v>GW8</v>
      </c>
      <c r="B131" s="7">
        <v>8</v>
      </c>
      <c r="C131" s="7" t="str">
        <f t="shared" si="20"/>
        <v>GW8-8</v>
      </c>
      <c r="D131" s="1" t="str">
        <f>IFERROR(VLOOKUP(E131,[1]FINAL!$A$2:$J$699,MATCH("Pos",[1]FINAL!$A$1:$J$1,0),0),"")</f>
        <v/>
      </c>
      <c r="E131" s="4" t="str">
        <f>IFERROR(VLOOKUP($A131&amp;$E114,DATA!$F$1:$G$500,MATCH("FULL IN",DATA!$F$1:$G$1,0),0),$E114)</f>
        <v/>
      </c>
      <c r="F131" s="2" t="str">
        <f t="shared" si="22"/>
        <v/>
      </c>
      <c r="G131" s="2" t="str">
        <f>IFERROR(VLOOKUP(E131,[1]FINAL!$A$2:$M$699,MATCH("Team",[1]FINAL!$A$1:$K$1,0),0),"")</f>
        <v/>
      </c>
      <c r="I131" s="4" t="str">
        <f>IFERROR(VLOOKUP($A131&amp;$E114,DATA!$F$1:$H$500,MATCH("FULL OUT",DATA!$F$1:$H$1,0),0),"")</f>
        <v/>
      </c>
    </row>
    <row r="132" spans="1:9" x14ac:dyDescent="0.25">
      <c r="A132" s="6" t="str">
        <f t="shared" si="21"/>
        <v>GW8</v>
      </c>
      <c r="B132" s="7">
        <v>9</v>
      </c>
      <c r="C132" s="7" t="str">
        <f t="shared" si="20"/>
        <v>GW8-9</v>
      </c>
      <c r="D132" s="1" t="str">
        <f>IFERROR(VLOOKUP(E132,[1]FINAL!$A$2:$J$699,MATCH("Pos",[1]FINAL!$A$1:$J$1,0),0),"")</f>
        <v/>
      </c>
      <c r="E132" s="4" t="str">
        <f>IFERROR(VLOOKUP($A132&amp;$E115,DATA!$F$1:$G$500,MATCH("FULL IN",DATA!$F$1:$G$1,0),0),$E115)</f>
        <v/>
      </c>
      <c r="F132" s="2" t="str">
        <f t="shared" si="22"/>
        <v/>
      </c>
      <c r="G132" s="2" t="str">
        <f>IFERROR(VLOOKUP(E132,[1]FINAL!$A$2:$M$699,MATCH("Team",[1]FINAL!$A$1:$K$1,0),0),"")</f>
        <v/>
      </c>
      <c r="I132" s="4" t="str">
        <f>IFERROR(VLOOKUP($A132&amp;$E115,DATA!$F$1:$H$500,MATCH("FULL OUT",DATA!$F$1:$H$1,0),0),"")</f>
        <v/>
      </c>
    </row>
    <row r="133" spans="1:9" x14ac:dyDescent="0.25">
      <c r="A133" s="6" t="str">
        <f t="shared" si="21"/>
        <v>GW8</v>
      </c>
      <c r="B133" s="7">
        <v>10</v>
      </c>
      <c r="C133" s="7" t="str">
        <f t="shared" si="20"/>
        <v>GW8-10</v>
      </c>
      <c r="D133" s="1" t="str">
        <f>IFERROR(VLOOKUP(E133,[1]FINAL!$A$2:$J$699,MATCH("Pos",[1]FINAL!$A$1:$J$1,0),0),"")</f>
        <v/>
      </c>
      <c r="E133" s="4" t="str">
        <f>IFERROR(VLOOKUP($A133&amp;$E116,DATA!$F$1:$G$500,MATCH("FULL IN",DATA!$F$1:$G$1,0),0),$E116)</f>
        <v/>
      </c>
      <c r="F133" s="2" t="str">
        <f t="shared" si="22"/>
        <v/>
      </c>
      <c r="G133" s="2" t="str">
        <f>IFERROR(VLOOKUP(E133,[1]FINAL!$A$2:$M$699,MATCH("Team",[1]FINAL!$A$1:$K$1,0),0),"")</f>
        <v/>
      </c>
      <c r="I133" s="4" t="str">
        <f>IFERROR(VLOOKUP($A133&amp;$E116,DATA!$F$1:$H$500,MATCH("FULL OUT",DATA!$F$1:$H$1,0),0),"")</f>
        <v/>
      </c>
    </row>
    <row r="134" spans="1:9" x14ac:dyDescent="0.25">
      <c r="A134" s="6" t="str">
        <f t="shared" si="21"/>
        <v>GW8</v>
      </c>
      <c r="B134" s="7">
        <v>11</v>
      </c>
      <c r="C134" s="7" t="str">
        <f t="shared" si="20"/>
        <v>GW8-11</v>
      </c>
      <c r="D134" s="1" t="str">
        <f>IFERROR(VLOOKUP(E134,[1]FINAL!$A$2:$J$699,MATCH("Pos",[1]FINAL!$A$1:$J$1,0),0),"")</f>
        <v/>
      </c>
      <c r="E134" s="4" t="str">
        <f>IFERROR(VLOOKUP($A134&amp;$E117,DATA!$F$1:$G$500,MATCH("FULL IN",DATA!$F$1:$G$1,0),0),$E117)</f>
        <v/>
      </c>
      <c r="F134" s="2" t="str">
        <f t="shared" si="22"/>
        <v/>
      </c>
      <c r="G134" s="2" t="str">
        <f>IFERROR(VLOOKUP(E134,[1]FINAL!$A$2:$M$699,MATCH("Team",[1]FINAL!$A$1:$K$1,0),0),"")</f>
        <v/>
      </c>
      <c r="I134" s="4" t="str">
        <f>IFERROR(VLOOKUP($A134&amp;$E117,DATA!$F$1:$H$500,MATCH("FULL OUT",DATA!$F$1:$H$1,0),0),"")</f>
        <v/>
      </c>
    </row>
    <row r="135" spans="1:9" x14ac:dyDescent="0.25">
      <c r="A135" s="6" t="str">
        <f t="shared" si="21"/>
        <v>GW8</v>
      </c>
      <c r="B135" s="7">
        <v>12</v>
      </c>
      <c r="C135" s="7" t="str">
        <f t="shared" si="20"/>
        <v>GW8-12</v>
      </c>
      <c r="D135" s="1" t="str">
        <f>IFERROR(VLOOKUP(E135,[1]FINAL!$A$2:$J$699,MATCH("Pos",[1]FINAL!$A$1:$J$1,0),0),"")</f>
        <v/>
      </c>
      <c r="E135" s="4" t="str">
        <f>IFERROR(VLOOKUP($A135&amp;$E118,DATA!$F$1:$G$500,MATCH("FULL IN",DATA!$F$1:$G$1,0),0),$E118)</f>
        <v/>
      </c>
      <c r="F135" s="2" t="str">
        <f t="shared" si="22"/>
        <v/>
      </c>
      <c r="G135" s="2" t="str">
        <f>IFERROR(VLOOKUP(E135,[1]FINAL!$A$2:$M$699,MATCH("Team",[1]FINAL!$A$1:$K$1,0),0),"")</f>
        <v/>
      </c>
      <c r="I135" s="4" t="str">
        <f>IFERROR(VLOOKUP($A135&amp;$E118,DATA!$F$1:$H$500,MATCH("FULL OUT",DATA!$F$1:$H$1,0),0),"")</f>
        <v/>
      </c>
    </row>
    <row r="136" spans="1:9" x14ac:dyDescent="0.25">
      <c r="A136" s="6" t="str">
        <f t="shared" si="21"/>
        <v>GW8</v>
      </c>
      <c r="B136" s="7">
        <v>13</v>
      </c>
      <c r="C136" s="7" t="str">
        <f t="shared" si="20"/>
        <v>GW8-13</v>
      </c>
      <c r="D136" s="1" t="str">
        <f>IFERROR(VLOOKUP(E136,[1]FINAL!$A$2:$J$699,MATCH("Pos",[1]FINAL!$A$1:$J$1,0),0),"")</f>
        <v/>
      </c>
      <c r="E136" s="4" t="str">
        <f>IFERROR(VLOOKUP($A136&amp;$E119,DATA!$F$1:$G$500,MATCH("FULL IN",DATA!$F$1:$G$1,0),0),$E119)</f>
        <v/>
      </c>
      <c r="F136" s="2" t="str">
        <f t="shared" si="22"/>
        <v/>
      </c>
      <c r="G136" s="2" t="str">
        <f>IFERROR(VLOOKUP(E136,[1]FINAL!$A$2:$M$699,MATCH("Team",[1]FINAL!$A$1:$K$1,0),0),"")</f>
        <v/>
      </c>
      <c r="I136" s="4" t="str">
        <f>IFERROR(VLOOKUP($A136&amp;$E119,DATA!$F$1:$H$500,MATCH("FULL OUT",DATA!$F$1:$H$1,0),0),"")</f>
        <v/>
      </c>
    </row>
    <row r="137" spans="1:9" x14ac:dyDescent="0.25">
      <c r="A137" s="6" t="str">
        <f t="shared" si="21"/>
        <v>GW8</v>
      </c>
      <c r="B137" s="7">
        <v>14</v>
      </c>
      <c r="C137" s="7" t="str">
        <f t="shared" si="20"/>
        <v>GW8-14</v>
      </c>
      <c r="D137" s="1" t="str">
        <f>IFERROR(VLOOKUP(E137,[1]FINAL!$A$2:$J$699,MATCH("Pos",[1]FINAL!$A$1:$J$1,0),0),"")</f>
        <v/>
      </c>
      <c r="E137" s="4" t="str">
        <f>IFERROR(VLOOKUP($A137&amp;$E120,DATA!$F$1:$G$500,MATCH("FULL IN",DATA!$F$1:$G$1,0),0),$E120)</f>
        <v/>
      </c>
      <c r="F137" s="2" t="str">
        <f t="shared" si="22"/>
        <v/>
      </c>
      <c r="G137" s="2" t="str">
        <f>IFERROR(VLOOKUP(E137,[1]FINAL!$A$2:$M$699,MATCH("Team",[1]FINAL!$A$1:$K$1,0),0),"")</f>
        <v/>
      </c>
      <c r="I137" s="4" t="str">
        <f>IFERROR(VLOOKUP($A137&amp;$E120,DATA!$F$1:$H$500,MATCH("FULL OUT",DATA!$F$1:$H$1,0),0),"")</f>
        <v/>
      </c>
    </row>
    <row r="138" spans="1:9" x14ac:dyDescent="0.25">
      <c r="A138" s="6" t="str">
        <f t="shared" si="21"/>
        <v>GW8</v>
      </c>
      <c r="B138" s="7">
        <v>15</v>
      </c>
      <c r="C138" s="7" t="str">
        <f t="shared" si="20"/>
        <v>GW8-15</v>
      </c>
      <c r="D138" s="1" t="str">
        <f>IFERROR(VLOOKUP(E138,[1]FINAL!$A$2:$J$699,MATCH("Pos",[1]FINAL!$A$1:$J$1,0),0),"")</f>
        <v/>
      </c>
      <c r="E138" s="4" t="str">
        <f>IFERROR(VLOOKUP($A138&amp;$E121,DATA!$F$1:$G$500,MATCH("FULL IN",DATA!$F$1:$G$1,0),0),$E121)</f>
        <v/>
      </c>
      <c r="F138" s="2" t="str">
        <f t="shared" si="22"/>
        <v/>
      </c>
      <c r="G138" s="2" t="str">
        <f>IFERROR(VLOOKUP(E138,[1]FINAL!$A$2:$M$699,MATCH("Team",[1]FINAL!$A$1:$K$1,0),0),"")</f>
        <v/>
      </c>
      <c r="I138" s="4" t="str">
        <f>IFERROR(VLOOKUP($A138&amp;$E121,DATA!$F$1:$H$500,MATCH("FULL OUT",DATA!$F$1:$H$1,0),0),"")</f>
        <v/>
      </c>
    </row>
    <row r="141" spans="1:9" x14ac:dyDescent="0.25">
      <c r="A141" s="6" t="s">
        <v>11</v>
      </c>
      <c r="B141" s="7">
        <v>1</v>
      </c>
      <c r="C141" s="7" t="str">
        <f>A141&amp;-B141</f>
        <v>GW9-1</v>
      </c>
      <c r="D141" s="1" t="str">
        <f>IFERROR(VLOOKUP(E141,[1]FINAL!$A$2:$J$699,MATCH("Pos",[1]FINAL!$A$1:$J$1,0),0),"")</f>
        <v/>
      </c>
      <c r="E141" s="4" t="str">
        <f>IFERROR(VLOOKUP($A141&amp;$E124,DATA!$F$1:$G$500,MATCH("FULL IN",DATA!$F$1:$G$1,0),0),$E124)</f>
        <v>Player Name</v>
      </c>
      <c r="G141" s="2" t="str">
        <f>IFERROR(VLOOKUP(E141,[1]FINAL!$A$2:$M$699,MATCH("Team",[1]FINAL!$A$1:$K$1,0),0),"")</f>
        <v/>
      </c>
      <c r="I141" s="4" t="str">
        <f>IFERROR(VLOOKUP($A141&amp;$E124,DATA!$F$1:$H$500,MATCH("FULL OUT",DATA!$F$1:$H$1,0),0),"")</f>
        <v/>
      </c>
    </row>
    <row r="142" spans="1:9" x14ac:dyDescent="0.25">
      <c r="A142" s="6" t="str">
        <f>A141</f>
        <v>GW9</v>
      </c>
      <c r="B142" s="7">
        <v>2</v>
      </c>
      <c r="C142" s="7" t="str">
        <f t="shared" ref="C142:C155" si="23">A142&amp;-B142</f>
        <v>GW9-2</v>
      </c>
      <c r="D142" s="1" t="str">
        <f>IFERROR(VLOOKUP(E142,[1]FINAL!$A$2:$J$699,MATCH("Pos",[1]FINAL!$A$1:$J$1,0),0),"")</f>
        <v/>
      </c>
      <c r="E142" s="4" t="str">
        <f>IFERROR(VLOOKUP($A142&amp;$E125,DATA!$F$1:$G$500,MATCH("FULL IN",DATA!$F$1:$G$1,0),0),$E125)</f>
        <v/>
      </c>
      <c r="F142" s="2" t="str">
        <f>IF(Z142="","","IN")</f>
        <v/>
      </c>
      <c r="G142" s="2" t="str">
        <f>IFERROR(VLOOKUP(E142,[1]FINAL!$A$2:$M$699,MATCH("Team",[1]FINAL!$A$1:$K$1,0),0),"")</f>
        <v/>
      </c>
      <c r="I142" s="4" t="str">
        <f>IFERROR(VLOOKUP($A142&amp;$E125,DATA!$F$1:$H$500,MATCH("FULL OUT",DATA!$F$1:$H$1,0),0),"")</f>
        <v/>
      </c>
    </row>
    <row r="143" spans="1:9" x14ac:dyDescent="0.25">
      <c r="A143" s="6" t="str">
        <f t="shared" ref="A143:A155" si="24">A142</f>
        <v>GW9</v>
      </c>
      <c r="B143" s="7">
        <v>3</v>
      </c>
      <c r="C143" s="7" t="str">
        <f t="shared" si="23"/>
        <v>GW9-3</v>
      </c>
      <c r="D143" s="1" t="str">
        <f>IFERROR(VLOOKUP(E143,[1]FINAL!$A$2:$J$699,MATCH("Pos",[1]FINAL!$A$1:$J$1,0),0),"")</f>
        <v/>
      </c>
      <c r="E143" s="4" t="str">
        <f>IFERROR(VLOOKUP($A143&amp;$E126,DATA!$F$1:$G$500,MATCH("FULL IN",DATA!$F$1:$G$1,0),0),$E126)</f>
        <v/>
      </c>
      <c r="F143" s="2" t="str">
        <f t="shared" ref="F143:F155" si="25">IF(Z143="","","IN")</f>
        <v/>
      </c>
      <c r="G143" s="2" t="str">
        <f>IFERROR(VLOOKUP(E143,[1]FINAL!$A$2:$M$699,MATCH("Team",[1]FINAL!$A$1:$K$1,0),0),"")</f>
        <v/>
      </c>
      <c r="I143" s="4" t="str">
        <f>IFERROR(VLOOKUP($A143&amp;$E126,DATA!$F$1:$H$500,MATCH("FULL OUT",DATA!$F$1:$H$1,0),0),"")</f>
        <v/>
      </c>
    </row>
    <row r="144" spans="1:9" x14ac:dyDescent="0.25">
      <c r="A144" s="6" t="str">
        <f t="shared" si="24"/>
        <v>GW9</v>
      </c>
      <c r="B144" s="7">
        <v>4</v>
      </c>
      <c r="C144" s="7" t="str">
        <f t="shared" si="23"/>
        <v>GW9-4</v>
      </c>
      <c r="D144" s="1" t="str">
        <f>IFERROR(VLOOKUP(E144,[1]FINAL!$A$2:$J$699,MATCH("Pos",[1]FINAL!$A$1:$J$1,0),0),"")</f>
        <v/>
      </c>
      <c r="E144" s="4" t="str">
        <f>IFERROR(VLOOKUP($A144&amp;$E127,DATA!$F$1:$G$500,MATCH("FULL IN",DATA!$F$1:$G$1,0),0),$E127)</f>
        <v/>
      </c>
      <c r="F144" s="2" t="str">
        <f t="shared" si="25"/>
        <v/>
      </c>
      <c r="G144" s="2" t="str">
        <f>IFERROR(VLOOKUP(E144,[1]FINAL!$A$2:$M$699,MATCH("Team",[1]FINAL!$A$1:$K$1,0),0),"")</f>
        <v/>
      </c>
      <c r="I144" s="4" t="str">
        <f>IFERROR(VLOOKUP($A144&amp;$E127,DATA!$F$1:$H$500,MATCH("FULL OUT",DATA!$F$1:$H$1,0),0),"")</f>
        <v/>
      </c>
    </row>
    <row r="145" spans="1:9" x14ac:dyDescent="0.25">
      <c r="A145" s="6" t="str">
        <f t="shared" si="24"/>
        <v>GW9</v>
      </c>
      <c r="B145" s="7">
        <v>5</v>
      </c>
      <c r="C145" s="7" t="str">
        <f t="shared" si="23"/>
        <v>GW9-5</v>
      </c>
      <c r="D145" s="1" t="str">
        <f>IFERROR(VLOOKUP(E145,[1]FINAL!$A$2:$J$699,MATCH("Pos",[1]FINAL!$A$1:$J$1,0),0),"")</f>
        <v/>
      </c>
      <c r="E145" s="4" t="str">
        <f>IFERROR(VLOOKUP($A145&amp;$E128,DATA!$F$1:$G$500,MATCH("FULL IN",DATA!$F$1:$G$1,0),0),$E128)</f>
        <v/>
      </c>
      <c r="F145" s="2" t="str">
        <f t="shared" si="25"/>
        <v/>
      </c>
      <c r="G145" s="2" t="str">
        <f>IFERROR(VLOOKUP(E145,[1]FINAL!$A$2:$M$699,MATCH("Team",[1]FINAL!$A$1:$K$1,0),0),"")</f>
        <v/>
      </c>
      <c r="I145" s="4" t="str">
        <f>IFERROR(VLOOKUP($A145&amp;$E128,DATA!$F$1:$H$500,MATCH("FULL OUT",DATA!$F$1:$H$1,0),0),"")</f>
        <v/>
      </c>
    </row>
    <row r="146" spans="1:9" x14ac:dyDescent="0.25">
      <c r="A146" s="6" t="str">
        <f t="shared" si="24"/>
        <v>GW9</v>
      </c>
      <c r="B146" s="7">
        <v>6</v>
      </c>
      <c r="C146" s="7" t="str">
        <f t="shared" si="23"/>
        <v>GW9-6</v>
      </c>
      <c r="D146" s="1" t="str">
        <f>IFERROR(VLOOKUP(E146,[1]FINAL!$A$2:$J$699,MATCH("Pos",[1]FINAL!$A$1:$J$1,0),0),"")</f>
        <v/>
      </c>
      <c r="E146" s="4" t="str">
        <f>IFERROR(VLOOKUP($A146&amp;$E129,DATA!$F$1:$G$500,MATCH("FULL IN",DATA!$F$1:$G$1,0),0),$E129)</f>
        <v/>
      </c>
      <c r="F146" s="2" t="str">
        <f t="shared" si="25"/>
        <v/>
      </c>
      <c r="G146" s="2" t="str">
        <f>IFERROR(VLOOKUP(E146,[1]FINAL!$A$2:$M$699,MATCH("Team",[1]FINAL!$A$1:$K$1,0),0),"")</f>
        <v/>
      </c>
      <c r="I146" s="4" t="str">
        <f>IFERROR(VLOOKUP($A146&amp;$E129,DATA!$F$1:$H$500,MATCH("FULL OUT",DATA!$F$1:$H$1,0),0),"")</f>
        <v/>
      </c>
    </row>
    <row r="147" spans="1:9" x14ac:dyDescent="0.25">
      <c r="A147" s="6" t="str">
        <f t="shared" si="24"/>
        <v>GW9</v>
      </c>
      <c r="B147" s="7">
        <v>7</v>
      </c>
      <c r="C147" s="7" t="str">
        <f t="shared" si="23"/>
        <v>GW9-7</v>
      </c>
      <c r="D147" s="1" t="str">
        <f>IFERROR(VLOOKUP(E147,[1]FINAL!$A$2:$J$699,MATCH("Pos",[1]FINAL!$A$1:$J$1,0),0),"")</f>
        <v/>
      </c>
      <c r="E147" s="4" t="str">
        <f>IFERROR(VLOOKUP($A147&amp;$E130,DATA!$F$1:$G$500,MATCH("FULL IN",DATA!$F$1:$G$1,0),0),$E130)</f>
        <v/>
      </c>
      <c r="F147" s="2" t="str">
        <f t="shared" si="25"/>
        <v/>
      </c>
      <c r="G147" s="2" t="str">
        <f>IFERROR(VLOOKUP(E147,[1]FINAL!$A$2:$M$699,MATCH("Team",[1]FINAL!$A$1:$K$1,0),0),"")</f>
        <v/>
      </c>
      <c r="I147" s="4" t="str">
        <f>IFERROR(VLOOKUP($A147&amp;$E130,DATA!$F$1:$H$500,MATCH("FULL OUT",DATA!$F$1:$H$1,0),0),"")</f>
        <v/>
      </c>
    </row>
    <row r="148" spans="1:9" x14ac:dyDescent="0.25">
      <c r="A148" s="6" t="str">
        <f t="shared" si="24"/>
        <v>GW9</v>
      </c>
      <c r="B148" s="7">
        <v>8</v>
      </c>
      <c r="C148" s="7" t="str">
        <f t="shared" si="23"/>
        <v>GW9-8</v>
      </c>
      <c r="D148" s="1" t="str">
        <f>IFERROR(VLOOKUP(E148,[1]FINAL!$A$2:$J$699,MATCH("Pos",[1]FINAL!$A$1:$J$1,0),0),"")</f>
        <v/>
      </c>
      <c r="E148" s="4" t="str">
        <f>IFERROR(VLOOKUP($A148&amp;$E131,DATA!$F$1:$G$500,MATCH("FULL IN",DATA!$F$1:$G$1,0),0),$E131)</f>
        <v/>
      </c>
      <c r="F148" s="2" t="str">
        <f t="shared" si="25"/>
        <v/>
      </c>
      <c r="G148" s="2" t="str">
        <f>IFERROR(VLOOKUP(E148,[1]FINAL!$A$2:$M$699,MATCH("Team",[1]FINAL!$A$1:$K$1,0),0),"")</f>
        <v/>
      </c>
      <c r="I148" s="4" t="str">
        <f>IFERROR(VLOOKUP($A148&amp;$E131,DATA!$F$1:$H$500,MATCH("FULL OUT",DATA!$F$1:$H$1,0),0),"")</f>
        <v/>
      </c>
    </row>
    <row r="149" spans="1:9" x14ac:dyDescent="0.25">
      <c r="A149" s="6" t="str">
        <f t="shared" si="24"/>
        <v>GW9</v>
      </c>
      <c r="B149" s="7">
        <v>9</v>
      </c>
      <c r="C149" s="7" t="str">
        <f t="shared" si="23"/>
        <v>GW9-9</v>
      </c>
      <c r="D149" s="1" t="str">
        <f>IFERROR(VLOOKUP(E149,[1]FINAL!$A$2:$J$699,MATCH("Pos",[1]FINAL!$A$1:$J$1,0),0),"")</f>
        <v/>
      </c>
      <c r="E149" s="4" t="str">
        <f>IFERROR(VLOOKUP($A149&amp;$E132,DATA!$F$1:$G$500,MATCH("FULL IN",DATA!$F$1:$G$1,0),0),$E132)</f>
        <v/>
      </c>
      <c r="F149" s="2" t="str">
        <f t="shared" si="25"/>
        <v/>
      </c>
      <c r="G149" s="2" t="str">
        <f>IFERROR(VLOOKUP(E149,[1]FINAL!$A$2:$M$699,MATCH("Team",[1]FINAL!$A$1:$K$1,0),0),"")</f>
        <v/>
      </c>
      <c r="I149" s="4" t="str">
        <f>IFERROR(VLOOKUP($A149&amp;$E132,DATA!$F$1:$H$500,MATCH("FULL OUT",DATA!$F$1:$H$1,0),0),"")</f>
        <v/>
      </c>
    </row>
    <row r="150" spans="1:9" x14ac:dyDescent="0.25">
      <c r="A150" s="6" t="str">
        <f t="shared" si="24"/>
        <v>GW9</v>
      </c>
      <c r="B150" s="7">
        <v>10</v>
      </c>
      <c r="C150" s="7" t="str">
        <f t="shared" si="23"/>
        <v>GW9-10</v>
      </c>
      <c r="D150" s="1" t="str">
        <f>IFERROR(VLOOKUP(E150,[1]FINAL!$A$2:$J$699,MATCH("Pos",[1]FINAL!$A$1:$J$1,0),0),"")</f>
        <v/>
      </c>
      <c r="E150" s="4" t="str">
        <f>IFERROR(VLOOKUP($A150&amp;$E133,DATA!$F$1:$G$500,MATCH("FULL IN",DATA!$F$1:$G$1,0),0),$E133)</f>
        <v/>
      </c>
      <c r="F150" s="2" t="str">
        <f t="shared" si="25"/>
        <v/>
      </c>
      <c r="G150" s="2" t="str">
        <f>IFERROR(VLOOKUP(E150,[1]FINAL!$A$2:$M$699,MATCH("Team",[1]FINAL!$A$1:$K$1,0),0),"")</f>
        <v/>
      </c>
      <c r="I150" s="4" t="str">
        <f>IFERROR(VLOOKUP($A150&amp;$E133,DATA!$F$1:$H$500,MATCH("FULL OUT",DATA!$F$1:$H$1,0),0),"")</f>
        <v/>
      </c>
    </row>
    <row r="151" spans="1:9" x14ac:dyDescent="0.25">
      <c r="A151" s="6" t="str">
        <f t="shared" si="24"/>
        <v>GW9</v>
      </c>
      <c r="B151" s="7">
        <v>11</v>
      </c>
      <c r="C151" s="7" t="str">
        <f t="shared" si="23"/>
        <v>GW9-11</v>
      </c>
      <c r="D151" s="1" t="str">
        <f>IFERROR(VLOOKUP(E151,[1]FINAL!$A$2:$J$699,MATCH("Pos",[1]FINAL!$A$1:$J$1,0),0),"")</f>
        <v/>
      </c>
      <c r="E151" s="4" t="str">
        <f>IFERROR(VLOOKUP($A151&amp;$E134,DATA!$F$1:$G$500,MATCH("FULL IN",DATA!$F$1:$G$1,0),0),$E134)</f>
        <v/>
      </c>
      <c r="F151" s="2" t="str">
        <f t="shared" si="25"/>
        <v/>
      </c>
      <c r="G151" s="2" t="str">
        <f>IFERROR(VLOOKUP(E151,[1]FINAL!$A$2:$M$699,MATCH("Team",[1]FINAL!$A$1:$K$1,0),0),"")</f>
        <v/>
      </c>
      <c r="I151" s="4" t="str">
        <f>IFERROR(VLOOKUP($A151&amp;$E134,DATA!$F$1:$H$500,MATCH("FULL OUT",DATA!$F$1:$H$1,0),0),"")</f>
        <v/>
      </c>
    </row>
    <row r="152" spans="1:9" x14ac:dyDescent="0.25">
      <c r="A152" s="6" t="str">
        <f t="shared" si="24"/>
        <v>GW9</v>
      </c>
      <c r="B152" s="7">
        <v>12</v>
      </c>
      <c r="C152" s="7" t="str">
        <f t="shared" si="23"/>
        <v>GW9-12</v>
      </c>
      <c r="D152" s="1" t="str">
        <f>IFERROR(VLOOKUP(E152,[1]FINAL!$A$2:$J$699,MATCH("Pos",[1]FINAL!$A$1:$J$1,0),0),"")</f>
        <v/>
      </c>
      <c r="E152" s="4" t="str">
        <f>IFERROR(VLOOKUP($A152&amp;$E135,DATA!$F$1:$G$500,MATCH("FULL IN",DATA!$F$1:$G$1,0),0),$E135)</f>
        <v/>
      </c>
      <c r="F152" s="2" t="str">
        <f t="shared" si="25"/>
        <v/>
      </c>
      <c r="G152" s="2" t="str">
        <f>IFERROR(VLOOKUP(E152,[1]FINAL!$A$2:$M$699,MATCH("Team",[1]FINAL!$A$1:$K$1,0),0),"")</f>
        <v/>
      </c>
      <c r="I152" s="4" t="str">
        <f>IFERROR(VLOOKUP($A152&amp;$E135,DATA!$F$1:$H$500,MATCH("FULL OUT",DATA!$F$1:$H$1,0),0),"")</f>
        <v/>
      </c>
    </row>
    <row r="153" spans="1:9" x14ac:dyDescent="0.25">
      <c r="A153" s="6" t="str">
        <f t="shared" si="24"/>
        <v>GW9</v>
      </c>
      <c r="B153" s="7">
        <v>13</v>
      </c>
      <c r="C153" s="7" t="str">
        <f t="shared" si="23"/>
        <v>GW9-13</v>
      </c>
      <c r="D153" s="1" t="str">
        <f>IFERROR(VLOOKUP(E153,[1]FINAL!$A$2:$J$699,MATCH("Pos",[1]FINAL!$A$1:$J$1,0),0),"")</f>
        <v/>
      </c>
      <c r="E153" s="4" t="str">
        <f>IFERROR(VLOOKUP($A153&amp;$E136,DATA!$F$1:$G$500,MATCH("FULL IN",DATA!$F$1:$G$1,0),0),$E136)</f>
        <v/>
      </c>
      <c r="F153" s="2" t="str">
        <f t="shared" si="25"/>
        <v/>
      </c>
      <c r="G153" s="2" t="str">
        <f>IFERROR(VLOOKUP(E153,[1]FINAL!$A$2:$M$699,MATCH("Team",[1]FINAL!$A$1:$K$1,0),0),"")</f>
        <v/>
      </c>
      <c r="I153" s="4" t="str">
        <f>IFERROR(VLOOKUP($A153&amp;$E136,DATA!$F$1:$H$500,MATCH("FULL OUT",DATA!$F$1:$H$1,0),0),"")</f>
        <v/>
      </c>
    </row>
    <row r="154" spans="1:9" x14ac:dyDescent="0.25">
      <c r="A154" s="6" t="str">
        <f t="shared" si="24"/>
        <v>GW9</v>
      </c>
      <c r="B154" s="7">
        <v>14</v>
      </c>
      <c r="C154" s="7" t="str">
        <f t="shared" si="23"/>
        <v>GW9-14</v>
      </c>
      <c r="D154" s="1" t="str">
        <f>IFERROR(VLOOKUP(E154,[1]FINAL!$A$2:$J$699,MATCH("Pos",[1]FINAL!$A$1:$J$1,0),0),"")</f>
        <v/>
      </c>
      <c r="E154" s="4" t="str">
        <f>IFERROR(VLOOKUP($A154&amp;$E137,DATA!$F$1:$G$500,MATCH("FULL IN",DATA!$F$1:$G$1,0),0),$E137)</f>
        <v/>
      </c>
      <c r="F154" s="2" t="str">
        <f t="shared" si="25"/>
        <v/>
      </c>
      <c r="G154" s="2" t="str">
        <f>IFERROR(VLOOKUP(E154,[1]FINAL!$A$2:$M$699,MATCH("Team",[1]FINAL!$A$1:$K$1,0),0),"")</f>
        <v/>
      </c>
      <c r="I154" s="4" t="str">
        <f>IFERROR(VLOOKUP($A154&amp;$E137,DATA!$F$1:$H$500,MATCH("FULL OUT",DATA!$F$1:$H$1,0),0),"")</f>
        <v/>
      </c>
    </row>
    <row r="155" spans="1:9" x14ac:dyDescent="0.25">
      <c r="A155" s="6" t="str">
        <f t="shared" si="24"/>
        <v>GW9</v>
      </c>
      <c r="B155" s="7">
        <v>15</v>
      </c>
      <c r="C155" s="7" t="str">
        <f t="shared" si="23"/>
        <v>GW9-15</v>
      </c>
      <c r="D155" s="1" t="str">
        <f>IFERROR(VLOOKUP(E155,[1]FINAL!$A$2:$J$699,MATCH("Pos",[1]FINAL!$A$1:$J$1,0),0),"")</f>
        <v/>
      </c>
      <c r="E155" s="4" t="str">
        <f>IFERROR(VLOOKUP($A155&amp;$E138,DATA!$F$1:$G$500,MATCH("FULL IN",DATA!$F$1:$G$1,0),0),$E138)</f>
        <v/>
      </c>
      <c r="F155" s="2" t="str">
        <f t="shared" si="25"/>
        <v/>
      </c>
      <c r="G155" s="2" t="str">
        <f>IFERROR(VLOOKUP(E155,[1]FINAL!$A$2:$M$699,MATCH("Team",[1]FINAL!$A$1:$K$1,0),0),"")</f>
        <v/>
      </c>
      <c r="I155" s="4" t="str">
        <f>IFERROR(VLOOKUP($A155&amp;$E138,DATA!$F$1:$H$500,MATCH("FULL OUT",DATA!$F$1:$H$1,0),0),"")</f>
        <v/>
      </c>
    </row>
    <row r="158" spans="1:9" x14ac:dyDescent="0.25">
      <c r="A158" s="6" t="s">
        <v>12</v>
      </c>
      <c r="B158" s="7">
        <v>1</v>
      </c>
      <c r="C158" s="7" t="str">
        <f>A158&amp;-B158</f>
        <v>GW10-1</v>
      </c>
      <c r="D158" s="1" t="str">
        <f>IFERROR(VLOOKUP(E158,[1]FINAL!$A$2:$J$699,MATCH("Pos",[1]FINAL!$A$1:$J$1,0),0),"")</f>
        <v/>
      </c>
      <c r="E158" s="4" t="str">
        <f>IFERROR(VLOOKUP($A158&amp;$E141,DATA!$F$1:$G$500,MATCH("FULL IN",DATA!$F$1:$G$1,0),0),$E141)</f>
        <v>Player Name</v>
      </c>
      <c r="G158" s="2" t="str">
        <f>IFERROR(VLOOKUP(E158,[1]FINAL!$A$2:$M$699,MATCH("Team",[1]FINAL!$A$1:$K$1,0),0),"")</f>
        <v/>
      </c>
      <c r="I158" s="4" t="str">
        <f>IFERROR(VLOOKUP($A158&amp;$E141,DATA!$F$1:$H$500,MATCH("FULL OUT",DATA!$F$1:$H$1,0),0),"")</f>
        <v/>
      </c>
    </row>
    <row r="159" spans="1:9" x14ac:dyDescent="0.25">
      <c r="A159" s="6" t="str">
        <f>A158</f>
        <v>GW10</v>
      </c>
      <c r="B159" s="7">
        <v>2</v>
      </c>
      <c r="C159" s="7" t="str">
        <f t="shared" ref="C159:C172" si="26">A159&amp;-B159</f>
        <v>GW10-2</v>
      </c>
      <c r="D159" s="1" t="str">
        <f>IFERROR(VLOOKUP(E159,[1]FINAL!$A$2:$J$699,MATCH("Pos",[1]FINAL!$A$1:$J$1,0),0),"")</f>
        <v/>
      </c>
      <c r="E159" s="4" t="str">
        <f>IFERROR(VLOOKUP($A159&amp;$E142,DATA!$F$1:$G$500,MATCH("FULL IN",DATA!$F$1:$G$1,0),0),$E142)</f>
        <v/>
      </c>
      <c r="F159" s="2" t="str">
        <f>IF(Z159="","","IN")</f>
        <v/>
      </c>
      <c r="G159" s="2" t="str">
        <f>IFERROR(VLOOKUP(E159,[1]FINAL!$A$2:$M$699,MATCH("Team",[1]FINAL!$A$1:$K$1,0),0),"")</f>
        <v/>
      </c>
      <c r="I159" s="4" t="str">
        <f>IFERROR(VLOOKUP($A159&amp;$E142,DATA!$F$1:$H$500,MATCH("FULL OUT",DATA!$F$1:$H$1,0),0),"")</f>
        <v/>
      </c>
    </row>
    <row r="160" spans="1:9" x14ac:dyDescent="0.25">
      <c r="A160" s="6" t="str">
        <f t="shared" ref="A160:A172" si="27">A159</f>
        <v>GW10</v>
      </c>
      <c r="B160" s="7">
        <v>3</v>
      </c>
      <c r="C160" s="7" t="str">
        <f t="shared" si="26"/>
        <v>GW10-3</v>
      </c>
      <c r="D160" s="1" t="str">
        <f>IFERROR(VLOOKUP(E160,[1]FINAL!$A$2:$J$699,MATCH("Pos",[1]FINAL!$A$1:$J$1,0),0),"")</f>
        <v/>
      </c>
      <c r="E160" s="4" t="str">
        <f>IFERROR(VLOOKUP($A160&amp;$E143,DATA!$F$1:$G$500,MATCH("FULL IN",DATA!$F$1:$G$1,0),0),$E143)</f>
        <v/>
      </c>
      <c r="F160" s="2" t="str">
        <f t="shared" ref="F160:F172" si="28">IF(Z160="","","IN")</f>
        <v/>
      </c>
      <c r="G160" s="2" t="str">
        <f>IFERROR(VLOOKUP(E160,[1]FINAL!$A$2:$M$699,MATCH("Team",[1]FINAL!$A$1:$K$1,0),0),"")</f>
        <v/>
      </c>
      <c r="I160" s="4" t="str">
        <f>IFERROR(VLOOKUP($A160&amp;$E143,DATA!$F$1:$H$500,MATCH("FULL OUT",DATA!$F$1:$H$1,0),0),"")</f>
        <v/>
      </c>
    </row>
    <row r="161" spans="1:9" x14ac:dyDescent="0.25">
      <c r="A161" s="6" t="str">
        <f t="shared" si="27"/>
        <v>GW10</v>
      </c>
      <c r="B161" s="7">
        <v>4</v>
      </c>
      <c r="C161" s="7" t="str">
        <f t="shared" si="26"/>
        <v>GW10-4</v>
      </c>
      <c r="D161" s="1" t="str">
        <f>IFERROR(VLOOKUP(E161,[1]FINAL!$A$2:$J$699,MATCH("Pos",[1]FINAL!$A$1:$J$1,0),0),"")</f>
        <v/>
      </c>
      <c r="E161" s="4" t="str">
        <f>IFERROR(VLOOKUP($A161&amp;$E144,DATA!$F$1:$G$500,MATCH("FULL IN",DATA!$F$1:$G$1,0),0),$E144)</f>
        <v/>
      </c>
      <c r="F161" s="2" t="str">
        <f t="shared" si="28"/>
        <v/>
      </c>
      <c r="G161" s="2" t="str">
        <f>IFERROR(VLOOKUP(E161,[1]FINAL!$A$2:$M$699,MATCH("Team",[1]FINAL!$A$1:$K$1,0),0),"")</f>
        <v/>
      </c>
      <c r="I161" s="4" t="str">
        <f>IFERROR(VLOOKUP($A161&amp;$E144,DATA!$F$1:$H$500,MATCH("FULL OUT",DATA!$F$1:$H$1,0),0),"")</f>
        <v/>
      </c>
    </row>
    <row r="162" spans="1:9" x14ac:dyDescent="0.25">
      <c r="A162" s="6" t="str">
        <f t="shared" si="27"/>
        <v>GW10</v>
      </c>
      <c r="B162" s="7">
        <v>5</v>
      </c>
      <c r="C162" s="7" t="str">
        <f t="shared" si="26"/>
        <v>GW10-5</v>
      </c>
      <c r="D162" s="1" t="str">
        <f>IFERROR(VLOOKUP(E162,[1]FINAL!$A$2:$J$699,MATCH("Pos",[1]FINAL!$A$1:$J$1,0),0),"")</f>
        <v/>
      </c>
      <c r="E162" s="4" t="str">
        <f>IFERROR(VLOOKUP($A162&amp;$E145,DATA!$F$1:$G$500,MATCH("FULL IN",DATA!$F$1:$G$1,0),0),$E145)</f>
        <v/>
      </c>
      <c r="F162" s="2" t="str">
        <f t="shared" si="28"/>
        <v/>
      </c>
      <c r="G162" s="2" t="str">
        <f>IFERROR(VLOOKUP(E162,[1]FINAL!$A$2:$M$699,MATCH("Team",[1]FINAL!$A$1:$K$1,0),0),"")</f>
        <v/>
      </c>
      <c r="I162" s="4" t="str">
        <f>IFERROR(VLOOKUP($A162&amp;$E145,DATA!$F$1:$H$500,MATCH("FULL OUT",DATA!$F$1:$H$1,0),0),"")</f>
        <v/>
      </c>
    </row>
    <row r="163" spans="1:9" x14ac:dyDescent="0.25">
      <c r="A163" s="6" t="str">
        <f t="shared" si="27"/>
        <v>GW10</v>
      </c>
      <c r="B163" s="7">
        <v>6</v>
      </c>
      <c r="C163" s="7" t="str">
        <f t="shared" si="26"/>
        <v>GW10-6</v>
      </c>
      <c r="D163" s="1" t="str">
        <f>IFERROR(VLOOKUP(E163,[1]FINAL!$A$2:$J$699,MATCH("Pos",[1]FINAL!$A$1:$J$1,0),0),"")</f>
        <v/>
      </c>
      <c r="E163" s="4" t="str">
        <f>IFERROR(VLOOKUP($A163&amp;$E146,DATA!$F$1:$G$500,MATCH("FULL IN",DATA!$F$1:$G$1,0),0),$E146)</f>
        <v/>
      </c>
      <c r="F163" s="2" t="str">
        <f t="shared" si="28"/>
        <v/>
      </c>
      <c r="G163" s="2" t="str">
        <f>IFERROR(VLOOKUP(E163,[1]FINAL!$A$2:$M$699,MATCH("Team",[1]FINAL!$A$1:$K$1,0),0),"")</f>
        <v/>
      </c>
      <c r="I163" s="4" t="str">
        <f>IFERROR(VLOOKUP($A163&amp;$E146,DATA!$F$1:$H$500,MATCH("FULL OUT",DATA!$F$1:$H$1,0),0),"")</f>
        <v/>
      </c>
    </row>
    <row r="164" spans="1:9" x14ac:dyDescent="0.25">
      <c r="A164" s="6" t="str">
        <f t="shared" si="27"/>
        <v>GW10</v>
      </c>
      <c r="B164" s="7">
        <v>7</v>
      </c>
      <c r="C164" s="7" t="str">
        <f t="shared" si="26"/>
        <v>GW10-7</v>
      </c>
      <c r="D164" s="1" t="str">
        <f>IFERROR(VLOOKUP(E164,[1]FINAL!$A$2:$J$699,MATCH("Pos",[1]FINAL!$A$1:$J$1,0),0),"")</f>
        <v/>
      </c>
      <c r="E164" s="4" t="str">
        <f>IFERROR(VLOOKUP($A164&amp;$E147,DATA!$F$1:$G$500,MATCH("FULL IN",DATA!$F$1:$G$1,0),0),$E147)</f>
        <v/>
      </c>
      <c r="F164" s="2" t="str">
        <f t="shared" si="28"/>
        <v/>
      </c>
      <c r="G164" s="2" t="str">
        <f>IFERROR(VLOOKUP(E164,[1]FINAL!$A$2:$M$699,MATCH("Team",[1]FINAL!$A$1:$K$1,0),0),"")</f>
        <v/>
      </c>
      <c r="I164" s="4" t="str">
        <f>IFERROR(VLOOKUP($A164&amp;$E147,DATA!$F$1:$H$500,MATCH("FULL OUT",DATA!$F$1:$H$1,0),0),"")</f>
        <v/>
      </c>
    </row>
    <row r="165" spans="1:9" x14ac:dyDescent="0.25">
      <c r="A165" s="6" t="str">
        <f t="shared" si="27"/>
        <v>GW10</v>
      </c>
      <c r="B165" s="7">
        <v>8</v>
      </c>
      <c r="C165" s="7" t="str">
        <f t="shared" si="26"/>
        <v>GW10-8</v>
      </c>
      <c r="D165" s="1" t="str">
        <f>IFERROR(VLOOKUP(E165,[1]FINAL!$A$2:$J$699,MATCH("Pos",[1]FINAL!$A$1:$J$1,0),0),"")</f>
        <v/>
      </c>
      <c r="E165" s="4" t="str">
        <f>IFERROR(VLOOKUP($A165&amp;$E148,DATA!$F$1:$G$500,MATCH("FULL IN",DATA!$F$1:$G$1,0),0),$E148)</f>
        <v/>
      </c>
      <c r="F165" s="2" t="str">
        <f t="shared" si="28"/>
        <v/>
      </c>
      <c r="G165" s="2" t="str">
        <f>IFERROR(VLOOKUP(E165,[1]FINAL!$A$2:$M$699,MATCH("Team",[1]FINAL!$A$1:$K$1,0),0),"")</f>
        <v/>
      </c>
      <c r="I165" s="4" t="str">
        <f>IFERROR(VLOOKUP($A165&amp;$E148,DATA!$F$1:$H$500,MATCH("FULL OUT",DATA!$F$1:$H$1,0),0),"")</f>
        <v/>
      </c>
    </row>
    <row r="166" spans="1:9" x14ac:dyDescent="0.25">
      <c r="A166" s="6" t="str">
        <f t="shared" si="27"/>
        <v>GW10</v>
      </c>
      <c r="B166" s="7">
        <v>9</v>
      </c>
      <c r="C166" s="7" t="str">
        <f t="shared" si="26"/>
        <v>GW10-9</v>
      </c>
      <c r="D166" s="1" t="str">
        <f>IFERROR(VLOOKUP(E166,[1]FINAL!$A$2:$J$699,MATCH("Pos",[1]FINAL!$A$1:$J$1,0),0),"")</f>
        <v/>
      </c>
      <c r="E166" s="4" t="str">
        <f>IFERROR(VLOOKUP($A166&amp;$E149,DATA!$F$1:$G$500,MATCH("FULL IN",DATA!$F$1:$G$1,0),0),$E149)</f>
        <v/>
      </c>
      <c r="F166" s="2" t="str">
        <f t="shared" si="28"/>
        <v/>
      </c>
      <c r="G166" s="2" t="str">
        <f>IFERROR(VLOOKUP(E166,[1]FINAL!$A$2:$M$699,MATCH("Team",[1]FINAL!$A$1:$K$1,0),0),"")</f>
        <v/>
      </c>
      <c r="I166" s="4" t="str">
        <f>IFERROR(VLOOKUP($A166&amp;$E149,DATA!$F$1:$H$500,MATCH("FULL OUT",DATA!$F$1:$H$1,0),0),"")</f>
        <v/>
      </c>
    </row>
    <row r="167" spans="1:9" x14ac:dyDescent="0.25">
      <c r="A167" s="6" t="str">
        <f t="shared" si="27"/>
        <v>GW10</v>
      </c>
      <c r="B167" s="7">
        <v>10</v>
      </c>
      <c r="C167" s="7" t="str">
        <f t="shared" si="26"/>
        <v>GW10-10</v>
      </c>
      <c r="D167" s="1" t="str">
        <f>IFERROR(VLOOKUP(E167,[1]FINAL!$A$2:$J$699,MATCH("Pos",[1]FINAL!$A$1:$J$1,0),0),"")</f>
        <v/>
      </c>
      <c r="E167" s="4" t="str">
        <f>IFERROR(VLOOKUP($A167&amp;$E150,DATA!$F$1:$G$500,MATCH("FULL IN",DATA!$F$1:$G$1,0),0),$E150)</f>
        <v/>
      </c>
      <c r="F167" s="2" t="str">
        <f t="shared" si="28"/>
        <v/>
      </c>
      <c r="G167" s="2" t="str">
        <f>IFERROR(VLOOKUP(E167,[1]FINAL!$A$2:$M$699,MATCH("Team",[1]FINAL!$A$1:$K$1,0),0),"")</f>
        <v/>
      </c>
      <c r="I167" s="4" t="str">
        <f>IFERROR(VLOOKUP($A167&amp;$E150,DATA!$F$1:$H$500,MATCH("FULL OUT",DATA!$F$1:$H$1,0),0),"")</f>
        <v/>
      </c>
    </row>
    <row r="168" spans="1:9" x14ac:dyDescent="0.25">
      <c r="A168" s="6" t="str">
        <f t="shared" si="27"/>
        <v>GW10</v>
      </c>
      <c r="B168" s="7">
        <v>11</v>
      </c>
      <c r="C168" s="7" t="str">
        <f t="shared" si="26"/>
        <v>GW10-11</v>
      </c>
      <c r="D168" s="1" t="str">
        <f>IFERROR(VLOOKUP(E168,[1]FINAL!$A$2:$J$699,MATCH("Pos",[1]FINAL!$A$1:$J$1,0),0),"")</f>
        <v/>
      </c>
      <c r="E168" s="4" t="str">
        <f>IFERROR(VLOOKUP($A168&amp;$E151,DATA!$F$1:$G$500,MATCH("FULL IN",DATA!$F$1:$G$1,0),0),$E151)</f>
        <v/>
      </c>
      <c r="F168" s="2" t="str">
        <f t="shared" si="28"/>
        <v/>
      </c>
      <c r="G168" s="2" t="str">
        <f>IFERROR(VLOOKUP(E168,[1]FINAL!$A$2:$M$699,MATCH("Team",[1]FINAL!$A$1:$K$1,0),0),"")</f>
        <v/>
      </c>
      <c r="I168" s="4" t="str">
        <f>IFERROR(VLOOKUP($A168&amp;$E151,DATA!$F$1:$H$500,MATCH("FULL OUT",DATA!$F$1:$H$1,0),0),"")</f>
        <v/>
      </c>
    </row>
    <row r="169" spans="1:9" x14ac:dyDescent="0.25">
      <c r="A169" s="6" t="str">
        <f t="shared" si="27"/>
        <v>GW10</v>
      </c>
      <c r="B169" s="7">
        <v>12</v>
      </c>
      <c r="C169" s="7" t="str">
        <f t="shared" si="26"/>
        <v>GW10-12</v>
      </c>
      <c r="D169" s="1" t="str">
        <f>IFERROR(VLOOKUP(E169,[1]FINAL!$A$2:$J$699,MATCH("Pos",[1]FINAL!$A$1:$J$1,0),0),"")</f>
        <v/>
      </c>
      <c r="E169" s="4" t="str">
        <f>IFERROR(VLOOKUP($A169&amp;$E152,DATA!$F$1:$G$500,MATCH("FULL IN",DATA!$F$1:$G$1,0),0),$E152)</f>
        <v/>
      </c>
      <c r="F169" s="2" t="str">
        <f t="shared" si="28"/>
        <v/>
      </c>
      <c r="G169" s="2" t="str">
        <f>IFERROR(VLOOKUP(E169,[1]FINAL!$A$2:$M$699,MATCH("Team",[1]FINAL!$A$1:$K$1,0),0),"")</f>
        <v/>
      </c>
      <c r="I169" s="4" t="str">
        <f>IFERROR(VLOOKUP($A169&amp;$E152,DATA!$F$1:$H$500,MATCH("FULL OUT",DATA!$F$1:$H$1,0),0),"")</f>
        <v/>
      </c>
    </row>
    <row r="170" spans="1:9" x14ac:dyDescent="0.25">
      <c r="A170" s="6" t="str">
        <f t="shared" si="27"/>
        <v>GW10</v>
      </c>
      <c r="B170" s="7">
        <v>13</v>
      </c>
      <c r="C170" s="7" t="str">
        <f t="shared" si="26"/>
        <v>GW10-13</v>
      </c>
      <c r="D170" s="1" t="str">
        <f>IFERROR(VLOOKUP(E170,[1]FINAL!$A$2:$J$699,MATCH("Pos",[1]FINAL!$A$1:$J$1,0),0),"")</f>
        <v/>
      </c>
      <c r="E170" s="4" t="str">
        <f>IFERROR(VLOOKUP($A170&amp;$E153,DATA!$F$1:$G$500,MATCH("FULL IN",DATA!$F$1:$G$1,0),0),$E153)</f>
        <v/>
      </c>
      <c r="F170" s="2" t="str">
        <f t="shared" si="28"/>
        <v/>
      </c>
      <c r="G170" s="2" t="str">
        <f>IFERROR(VLOOKUP(E170,[1]FINAL!$A$2:$M$699,MATCH("Team",[1]FINAL!$A$1:$K$1,0),0),"")</f>
        <v/>
      </c>
      <c r="I170" s="4" t="str">
        <f>IFERROR(VLOOKUP($A170&amp;$E153,DATA!$F$1:$H$500,MATCH("FULL OUT",DATA!$F$1:$H$1,0),0),"")</f>
        <v/>
      </c>
    </row>
    <row r="171" spans="1:9" x14ac:dyDescent="0.25">
      <c r="A171" s="6" t="str">
        <f t="shared" si="27"/>
        <v>GW10</v>
      </c>
      <c r="B171" s="7">
        <v>14</v>
      </c>
      <c r="C171" s="7" t="str">
        <f t="shared" si="26"/>
        <v>GW10-14</v>
      </c>
      <c r="D171" s="1" t="str">
        <f>IFERROR(VLOOKUP(E171,[1]FINAL!$A$2:$J$699,MATCH("Pos",[1]FINAL!$A$1:$J$1,0),0),"")</f>
        <v/>
      </c>
      <c r="E171" s="4" t="str">
        <f>IFERROR(VLOOKUP($A171&amp;$E154,DATA!$F$1:$G$500,MATCH("FULL IN",DATA!$F$1:$G$1,0),0),$E154)</f>
        <v/>
      </c>
      <c r="F171" s="2" t="str">
        <f t="shared" si="28"/>
        <v/>
      </c>
      <c r="G171" s="2" t="str">
        <f>IFERROR(VLOOKUP(E171,[1]FINAL!$A$2:$M$699,MATCH("Team",[1]FINAL!$A$1:$K$1,0),0),"")</f>
        <v/>
      </c>
      <c r="I171" s="4" t="str">
        <f>IFERROR(VLOOKUP($A171&amp;$E154,DATA!$F$1:$H$500,MATCH("FULL OUT",DATA!$F$1:$H$1,0),0),"")</f>
        <v/>
      </c>
    </row>
    <row r="172" spans="1:9" x14ac:dyDescent="0.25">
      <c r="A172" s="6" t="str">
        <f t="shared" si="27"/>
        <v>GW10</v>
      </c>
      <c r="B172" s="7">
        <v>15</v>
      </c>
      <c r="C172" s="7" t="str">
        <f t="shared" si="26"/>
        <v>GW10-15</v>
      </c>
      <c r="D172" s="1" t="str">
        <f>IFERROR(VLOOKUP(E172,[1]FINAL!$A$2:$J$699,MATCH("Pos",[1]FINAL!$A$1:$J$1,0),0),"")</f>
        <v/>
      </c>
      <c r="E172" s="4" t="str">
        <f>IFERROR(VLOOKUP($A172&amp;$E155,DATA!$F$1:$G$500,MATCH("FULL IN",DATA!$F$1:$G$1,0),0),$E155)</f>
        <v/>
      </c>
      <c r="F172" s="2" t="str">
        <f t="shared" si="28"/>
        <v/>
      </c>
      <c r="G172" s="2" t="str">
        <f>IFERROR(VLOOKUP(E172,[1]FINAL!$A$2:$M$699,MATCH("Team",[1]FINAL!$A$1:$K$1,0),0),"")</f>
        <v/>
      </c>
      <c r="I172" s="4" t="str">
        <f>IFERROR(VLOOKUP($A172&amp;$E155,DATA!$F$1:$H$500,MATCH("FULL OUT",DATA!$F$1:$H$1,0),0),"")</f>
        <v/>
      </c>
    </row>
    <row r="175" spans="1:9" x14ac:dyDescent="0.25">
      <c r="A175" s="6" t="s">
        <v>13</v>
      </c>
      <c r="B175" s="7">
        <v>1</v>
      </c>
      <c r="C175" s="7" t="str">
        <f>A175&amp;-B175</f>
        <v>GW11-1</v>
      </c>
      <c r="D175" s="1" t="str">
        <f>IFERROR(VLOOKUP(E175,[1]FINAL!$A$2:$J$699,MATCH("Pos",[1]FINAL!$A$1:$J$1,0),0),"")</f>
        <v/>
      </c>
      <c r="E175" s="4" t="str">
        <f>IFERROR(VLOOKUP($A175&amp;$E158,DATA!$F$1:$G$500,MATCH("FULL IN",DATA!$F$1:$G$1,0),0),$E158)</f>
        <v>Player Name</v>
      </c>
      <c r="G175" s="2" t="str">
        <f>IFERROR(VLOOKUP(E175,[1]FINAL!$A$2:$M$699,MATCH("Team",[1]FINAL!$A$1:$K$1,0),0),"")</f>
        <v/>
      </c>
      <c r="I175" s="4" t="str">
        <f>IFERROR(VLOOKUP($A175&amp;$E158,DATA!$F$1:$H$500,MATCH("FULL OUT",DATA!$F$1:$H$1,0),0),"")</f>
        <v/>
      </c>
    </row>
    <row r="176" spans="1:9" x14ac:dyDescent="0.25">
      <c r="A176" s="6" t="str">
        <f>A175</f>
        <v>GW11</v>
      </c>
      <c r="B176" s="7">
        <v>2</v>
      </c>
      <c r="C176" s="7" t="str">
        <f t="shared" ref="C176:C189" si="29">A176&amp;-B176</f>
        <v>GW11-2</v>
      </c>
      <c r="D176" s="1" t="str">
        <f>IFERROR(VLOOKUP(E176,[1]FINAL!$A$2:$J$699,MATCH("Pos",[1]FINAL!$A$1:$J$1,0),0),"")</f>
        <v/>
      </c>
      <c r="E176" s="4" t="str">
        <f>IFERROR(VLOOKUP($A176&amp;$E159,DATA!$F$1:$G$500,MATCH("FULL IN",DATA!$F$1:$G$1,0),0),$E159)</f>
        <v/>
      </c>
      <c r="F176" s="2" t="str">
        <f>IF(Z176="","","IN")</f>
        <v/>
      </c>
      <c r="G176" s="2" t="str">
        <f>IFERROR(VLOOKUP(E176,[1]FINAL!$A$2:$M$699,MATCH("Team",[1]FINAL!$A$1:$K$1,0),0),"")</f>
        <v/>
      </c>
      <c r="I176" s="4" t="str">
        <f>IFERROR(VLOOKUP($A176&amp;$E159,DATA!$F$1:$H$500,MATCH("FULL OUT",DATA!$F$1:$H$1,0),0),"")</f>
        <v/>
      </c>
    </row>
    <row r="177" spans="1:9" x14ac:dyDescent="0.25">
      <c r="A177" s="6" t="str">
        <f t="shared" ref="A177:A189" si="30">A176</f>
        <v>GW11</v>
      </c>
      <c r="B177" s="7">
        <v>3</v>
      </c>
      <c r="C177" s="7" t="str">
        <f t="shared" si="29"/>
        <v>GW11-3</v>
      </c>
      <c r="D177" s="1" t="str">
        <f>IFERROR(VLOOKUP(E177,[1]FINAL!$A$2:$J$699,MATCH("Pos",[1]FINAL!$A$1:$J$1,0),0),"")</f>
        <v/>
      </c>
      <c r="E177" s="4" t="str">
        <f>IFERROR(VLOOKUP($A177&amp;$E160,DATA!$F$1:$G$500,MATCH("FULL IN",DATA!$F$1:$G$1,0),0),$E160)</f>
        <v/>
      </c>
      <c r="F177" s="2" t="str">
        <f t="shared" ref="F177:F189" si="31">IF(Z177="","","IN")</f>
        <v/>
      </c>
      <c r="G177" s="2" t="str">
        <f>IFERROR(VLOOKUP(E177,[1]FINAL!$A$2:$M$699,MATCH("Team",[1]FINAL!$A$1:$K$1,0),0),"")</f>
        <v/>
      </c>
      <c r="I177" s="4" t="str">
        <f>IFERROR(VLOOKUP($A177&amp;$E160,DATA!$F$1:$H$500,MATCH("FULL OUT",DATA!$F$1:$H$1,0),0),"")</f>
        <v/>
      </c>
    </row>
    <row r="178" spans="1:9" x14ac:dyDescent="0.25">
      <c r="A178" s="6" t="str">
        <f t="shared" si="30"/>
        <v>GW11</v>
      </c>
      <c r="B178" s="7">
        <v>4</v>
      </c>
      <c r="C178" s="7" t="str">
        <f t="shared" si="29"/>
        <v>GW11-4</v>
      </c>
      <c r="D178" s="1" t="str">
        <f>IFERROR(VLOOKUP(E178,[1]FINAL!$A$2:$J$699,MATCH("Pos",[1]FINAL!$A$1:$J$1,0),0),"")</f>
        <v/>
      </c>
      <c r="E178" s="4" t="str">
        <f>IFERROR(VLOOKUP($A178&amp;$E161,DATA!$F$1:$G$500,MATCH("FULL IN",DATA!$F$1:$G$1,0),0),$E161)</f>
        <v/>
      </c>
      <c r="F178" s="2" t="str">
        <f t="shared" si="31"/>
        <v/>
      </c>
      <c r="G178" s="2" t="str">
        <f>IFERROR(VLOOKUP(E178,[1]FINAL!$A$2:$M$699,MATCH("Team",[1]FINAL!$A$1:$K$1,0),0),"")</f>
        <v/>
      </c>
      <c r="I178" s="4" t="str">
        <f>IFERROR(VLOOKUP($A178&amp;$E161,DATA!$F$1:$H$500,MATCH("FULL OUT",DATA!$F$1:$H$1,0),0),"")</f>
        <v/>
      </c>
    </row>
    <row r="179" spans="1:9" x14ac:dyDescent="0.25">
      <c r="A179" s="6" t="str">
        <f t="shared" si="30"/>
        <v>GW11</v>
      </c>
      <c r="B179" s="7">
        <v>5</v>
      </c>
      <c r="C179" s="7" t="str">
        <f t="shared" si="29"/>
        <v>GW11-5</v>
      </c>
      <c r="D179" s="1" t="str">
        <f>IFERROR(VLOOKUP(E179,[1]FINAL!$A$2:$J$699,MATCH("Pos",[1]FINAL!$A$1:$J$1,0),0),"")</f>
        <v/>
      </c>
      <c r="E179" s="4" t="str">
        <f>IFERROR(VLOOKUP($A179&amp;$E162,DATA!$F$1:$G$500,MATCH("FULL IN",DATA!$F$1:$G$1,0),0),$E162)</f>
        <v/>
      </c>
      <c r="F179" s="2" t="str">
        <f t="shared" si="31"/>
        <v/>
      </c>
      <c r="G179" s="2" t="str">
        <f>IFERROR(VLOOKUP(E179,[1]FINAL!$A$2:$M$699,MATCH("Team",[1]FINAL!$A$1:$K$1,0),0),"")</f>
        <v/>
      </c>
      <c r="I179" s="4" t="str">
        <f>IFERROR(VLOOKUP($A179&amp;$E162,DATA!$F$1:$H$500,MATCH("FULL OUT",DATA!$F$1:$H$1,0),0),"")</f>
        <v/>
      </c>
    </row>
    <row r="180" spans="1:9" x14ac:dyDescent="0.25">
      <c r="A180" s="6" t="str">
        <f t="shared" si="30"/>
        <v>GW11</v>
      </c>
      <c r="B180" s="7">
        <v>6</v>
      </c>
      <c r="C180" s="7" t="str">
        <f t="shared" si="29"/>
        <v>GW11-6</v>
      </c>
      <c r="D180" s="1" t="str">
        <f>IFERROR(VLOOKUP(E180,[1]FINAL!$A$2:$J$699,MATCH("Pos",[1]FINAL!$A$1:$J$1,0),0),"")</f>
        <v/>
      </c>
      <c r="E180" s="4" t="str">
        <f>IFERROR(VLOOKUP($A180&amp;$E163,DATA!$F$1:$G$500,MATCH("FULL IN",DATA!$F$1:$G$1,0),0),$E163)</f>
        <v/>
      </c>
      <c r="F180" s="2" t="str">
        <f t="shared" si="31"/>
        <v/>
      </c>
      <c r="G180" s="2" t="str">
        <f>IFERROR(VLOOKUP(E180,[1]FINAL!$A$2:$M$699,MATCH("Team",[1]FINAL!$A$1:$K$1,0),0),"")</f>
        <v/>
      </c>
      <c r="I180" s="4" t="str">
        <f>IFERROR(VLOOKUP($A180&amp;$E163,DATA!$F$1:$H$500,MATCH("FULL OUT",DATA!$F$1:$H$1,0),0),"")</f>
        <v/>
      </c>
    </row>
    <row r="181" spans="1:9" x14ac:dyDescent="0.25">
      <c r="A181" s="6" t="str">
        <f t="shared" si="30"/>
        <v>GW11</v>
      </c>
      <c r="B181" s="7">
        <v>7</v>
      </c>
      <c r="C181" s="7" t="str">
        <f t="shared" si="29"/>
        <v>GW11-7</v>
      </c>
      <c r="D181" s="1" t="str">
        <f>IFERROR(VLOOKUP(E181,[1]FINAL!$A$2:$J$699,MATCH("Pos",[1]FINAL!$A$1:$J$1,0),0),"")</f>
        <v/>
      </c>
      <c r="E181" s="4" t="str">
        <f>IFERROR(VLOOKUP($A181&amp;$E164,DATA!$F$1:$G$500,MATCH("FULL IN",DATA!$F$1:$G$1,0),0),$E164)</f>
        <v/>
      </c>
      <c r="F181" s="2" t="str">
        <f t="shared" si="31"/>
        <v/>
      </c>
      <c r="G181" s="2" t="str">
        <f>IFERROR(VLOOKUP(E181,[1]FINAL!$A$2:$M$699,MATCH("Team",[1]FINAL!$A$1:$K$1,0),0),"")</f>
        <v/>
      </c>
      <c r="I181" s="4" t="str">
        <f>IFERROR(VLOOKUP($A181&amp;$E164,DATA!$F$1:$H$500,MATCH("FULL OUT",DATA!$F$1:$H$1,0),0),"")</f>
        <v/>
      </c>
    </row>
    <row r="182" spans="1:9" x14ac:dyDescent="0.25">
      <c r="A182" s="6" t="str">
        <f t="shared" si="30"/>
        <v>GW11</v>
      </c>
      <c r="B182" s="7">
        <v>8</v>
      </c>
      <c r="C182" s="7" t="str">
        <f t="shared" si="29"/>
        <v>GW11-8</v>
      </c>
      <c r="D182" s="1" t="str">
        <f>IFERROR(VLOOKUP(E182,[1]FINAL!$A$2:$J$699,MATCH("Pos",[1]FINAL!$A$1:$J$1,0),0),"")</f>
        <v/>
      </c>
      <c r="E182" s="4" t="str">
        <f>IFERROR(VLOOKUP($A182&amp;$E165,DATA!$F$1:$G$500,MATCH("FULL IN",DATA!$F$1:$G$1,0),0),$E165)</f>
        <v/>
      </c>
      <c r="F182" s="2" t="str">
        <f t="shared" si="31"/>
        <v/>
      </c>
      <c r="G182" s="2" t="str">
        <f>IFERROR(VLOOKUP(E182,[1]FINAL!$A$2:$M$699,MATCH("Team",[1]FINAL!$A$1:$K$1,0),0),"")</f>
        <v/>
      </c>
      <c r="I182" s="4" t="str">
        <f>IFERROR(VLOOKUP($A182&amp;$E165,DATA!$F$1:$H$500,MATCH("FULL OUT",DATA!$F$1:$H$1,0),0),"")</f>
        <v/>
      </c>
    </row>
    <row r="183" spans="1:9" x14ac:dyDescent="0.25">
      <c r="A183" s="6" t="str">
        <f t="shared" si="30"/>
        <v>GW11</v>
      </c>
      <c r="B183" s="7">
        <v>9</v>
      </c>
      <c r="C183" s="7" t="str">
        <f t="shared" si="29"/>
        <v>GW11-9</v>
      </c>
      <c r="D183" s="1" t="str">
        <f>IFERROR(VLOOKUP(E183,[1]FINAL!$A$2:$J$699,MATCH("Pos",[1]FINAL!$A$1:$J$1,0),0),"")</f>
        <v/>
      </c>
      <c r="E183" s="4" t="str">
        <f>IFERROR(VLOOKUP($A183&amp;$E166,DATA!$F$1:$G$500,MATCH("FULL IN",DATA!$F$1:$G$1,0),0),$E166)</f>
        <v/>
      </c>
      <c r="F183" s="2" t="str">
        <f t="shared" si="31"/>
        <v/>
      </c>
      <c r="G183" s="2" t="str">
        <f>IFERROR(VLOOKUP(E183,[1]FINAL!$A$2:$M$699,MATCH("Team",[1]FINAL!$A$1:$K$1,0),0),"")</f>
        <v/>
      </c>
      <c r="I183" s="4" t="str">
        <f>IFERROR(VLOOKUP($A183&amp;$E166,DATA!$F$1:$H$500,MATCH("FULL OUT",DATA!$F$1:$H$1,0),0),"")</f>
        <v/>
      </c>
    </row>
    <row r="184" spans="1:9" x14ac:dyDescent="0.25">
      <c r="A184" s="6" t="str">
        <f t="shared" si="30"/>
        <v>GW11</v>
      </c>
      <c r="B184" s="7">
        <v>10</v>
      </c>
      <c r="C184" s="7" t="str">
        <f t="shared" si="29"/>
        <v>GW11-10</v>
      </c>
      <c r="D184" s="1" t="str">
        <f>IFERROR(VLOOKUP(E184,[1]FINAL!$A$2:$J$699,MATCH("Pos",[1]FINAL!$A$1:$J$1,0),0),"")</f>
        <v/>
      </c>
      <c r="E184" s="4" t="str">
        <f>IFERROR(VLOOKUP($A184&amp;$E167,DATA!$F$1:$G$500,MATCH("FULL IN",DATA!$F$1:$G$1,0),0),$E167)</f>
        <v/>
      </c>
      <c r="F184" s="2" t="str">
        <f t="shared" si="31"/>
        <v/>
      </c>
      <c r="G184" s="2" t="str">
        <f>IFERROR(VLOOKUP(E184,[1]FINAL!$A$2:$M$699,MATCH("Team",[1]FINAL!$A$1:$K$1,0),0),"")</f>
        <v/>
      </c>
      <c r="I184" s="4" t="str">
        <f>IFERROR(VLOOKUP($A184&amp;$E167,DATA!$F$1:$H$500,MATCH("FULL OUT",DATA!$F$1:$H$1,0),0),"")</f>
        <v/>
      </c>
    </row>
    <row r="185" spans="1:9" x14ac:dyDescent="0.25">
      <c r="A185" s="6" t="str">
        <f t="shared" si="30"/>
        <v>GW11</v>
      </c>
      <c r="B185" s="7">
        <v>11</v>
      </c>
      <c r="C185" s="7" t="str">
        <f t="shared" si="29"/>
        <v>GW11-11</v>
      </c>
      <c r="D185" s="1" t="str">
        <f>IFERROR(VLOOKUP(E185,[1]FINAL!$A$2:$J$699,MATCH("Pos",[1]FINAL!$A$1:$J$1,0),0),"")</f>
        <v/>
      </c>
      <c r="E185" s="4" t="str">
        <f>IFERROR(VLOOKUP($A185&amp;$E168,DATA!$F$1:$G$500,MATCH("FULL IN",DATA!$F$1:$G$1,0),0),$E168)</f>
        <v/>
      </c>
      <c r="F185" s="2" t="str">
        <f t="shared" si="31"/>
        <v/>
      </c>
      <c r="G185" s="2" t="str">
        <f>IFERROR(VLOOKUP(E185,[1]FINAL!$A$2:$M$699,MATCH("Team",[1]FINAL!$A$1:$K$1,0),0),"")</f>
        <v/>
      </c>
      <c r="I185" s="4" t="str">
        <f>IFERROR(VLOOKUP($A185&amp;$E168,DATA!$F$1:$H$500,MATCH("FULL OUT",DATA!$F$1:$H$1,0),0),"")</f>
        <v/>
      </c>
    </row>
    <row r="186" spans="1:9" x14ac:dyDescent="0.25">
      <c r="A186" s="6" t="str">
        <f t="shared" si="30"/>
        <v>GW11</v>
      </c>
      <c r="B186" s="7">
        <v>12</v>
      </c>
      <c r="C186" s="7" t="str">
        <f t="shared" si="29"/>
        <v>GW11-12</v>
      </c>
      <c r="D186" s="1" t="str">
        <f>IFERROR(VLOOKUP(E186,[1]FINAL!$A$2:$J$699,MATCH("Pos",[1]FINAL!$A$1:$J$1,0),0),"")</f>
        <v/>
      </c>
      <c r="E186" s="4" t="str">
        <f>IFERROR(VLOOKUP($A186&amp;$E169,DATA!$F$1:$G$500,MATCH("FULL IN",DATA!$F$1:$G$1,0),0),$E169)</f>
        <v/>
      </c>
      <c r="F186" s="2" t="str">
        <f t="shared" si="31"/>
        <v/>
      </c>
      <c r="G186" s="2" t="str">
        <f>IFERROR(VLOOKUP(E186,[1]FINAL!$A$2:$M$699,MATCH("Team",[1]FINAL!$A$1:$K$1,0),0),"")</f>
        <v/>
      </c>
      <c r="I186" s="4" t="str">
        <f>IFERROR(VLOOKUP($A186&amp;$E169,DATA!$F$1:$H$500,MATCH("FULL OUT",DATA!$F$1:$H$1,0),0),"")</f>
        <v/>
      </c>
    </row>
    <row r="187" spans="1:9" x14ac:dyDescent="0.25">
      <c r="A187" s="6" t="str">
        <f t="shared" si="30"/>
        <v>GW11</v>
      </c>
      <c r="B187" s="7">
        <v>13</v>
      </c>
      <c r="C187" s="7" t="str">
        <f t="shared" si="29"/>
        <v>GW11-13</v>
      </c>
      <c r="D187" s="1" t="str">
        <f>IFERROR(VLOOKUP(E187,[1]FINAL!$A$2:$J$699,MATCH("Pos",[1]FINAL!$A$1:$J$1,0),0),"")</f>
        <v/>
      </c>
      <c r="E187" s="4" t="str">
        <f>IFERROR(VLOOKUP($A187&amp;$E170,DATA!$F$1:$G$500,MATCH("FULL IN",DATA!$F$1:$G$1,0),0),$E170)</f>
        <v/>
      </c>
      <c r="F187" s="2" t="str">
        <f t="shared" si="31"/>
        <v/>
      </c>
      <c r="G187" s="2" t="str">
        <f>IFERROR(VLOOKUP(E187,[1]FINAL!$A$2:$M$699,MATCH("Team",[1]FINAL!$A$1:$K$1,0),0),"")</f>
        <v/>
      </c>
      <c r="I187" s="4" t="str">
        <f>IFERROR(VLOOKUP($A187&amp;$E170,DATA!$F$1:$H$500,MATCH("FULL OUT",DATA!$F$1:$H$1,0),0),"")</f>
        <v/>
      </c>
    </row>
    <row r="188" spans="1:9" x14ac:dyDescent="0.25">
      <c r="A188" s="6" t="str">
        <f t="shared" si="30"/>
        <v>GW11</v>
      </c>
      <c r="B188" s="7">
        <v>14</v>
      </c>
      <c r="C188" s="7" t="str">
        <f t="shared" si="29"/>
        <v>GW11-14</v>
      </c>
      <c r="D188" s="1" t="str">
        <f>IFERROR(VLOOKUP(E188,[1]FINAL!$A$2:$J$699,MATCH("Pos",[1]FINAL!$A$1:$J$1,0),0),"")</f>
        <v/>
      </c>
      <c r="E188" s="4" t="str">
        <f>IFERROR(VLOOKUP($A188&amp;$E171,DATA!$F$1:$G$500,MATCH("FULL IN",DATA!$F$1:$G$1,0),0),$E171)</f>
        <v/>
      </c>
      <c r="F188" s="2" t="str">
        <f t="shared" si="31"/>
        <v/>
      </c>
      <c r="G188" s="2" t="str">
        <f>IFERROR(VLOOKUP(E188,[1]FINAL!$A$2:$M$699,MATCH("Team",[1]FINAL!$A$1:$K$1,0),0),"")</f>
        <v/>
      </c>
      <c r="I188" s="4" t="str">
        <f>IFERROR(VLOOKUP($A188&amp;$E171,DATA!$F$1:$H$500,MATCH("FULL OUT",DATA!$F$1:$H$1,0),0),"")</f>
        <v/>
      </c>
    </row>
    <row r="189" spans="1:9" x14ac:dyDescent="0.25">
      <c r="A189" s="6" t="str">
        <f t="shared" si="30"/>
        <v>GW11</v>
      </c>
      <c r="B189" s="7">
        <v>15</v>
      </c>
      <c r="C189" s="7" t="str">
        <f t="shared" si="29"/>
        <v>GW11-15</v>
      </c>
      <c r="D189" s="1" t="str">
        <f>IFERROR(VLOOKUP(E189,[1]FINAL!$A$2:$J$699,MATCH("Pos",[1]FINAL!$A$1:$J$1,0),0),"")</f>
        <v/>
      </c>
      <c r="E189" s="4" t="str">
        <f>IFERROR(VLOOKUP($A189&amp;$E172,DATA!$F$1:$G$500,MATCH("FULL IN",DATA!$F$1:$G$1,0),0),$E172)</f>
        <v/>
      </c>
      <c r="F189" s="2" t="str">
        <f t="shared" si="31"/>
        <v/>
      </c>
      <c r="G189" s="2" t="str">
        <f>IFERROR(VLOOKUP(E189,[1]FINAL!$A$2:$M$699,MATCH("Team",[1]FINAL!$A$1:$K$1,0),0),"")</f>
        <v/>
      </c>
      <c r="I189" s="4" t="str">
        <f>IFERROR(VLOOKUP($A189&amp;$E172,DATA!$F$1:$H$500,MATCH("FULL OUT",DATA!$F$1:$H$1,0),0),"")</f>
        <v/>
      </c>
    </row>
    <row r="192" spans="1:9" x14ac:dyDescent="0.25">
      <c r="A192" s="6" t="s">
        <v>14</v>
      </c>
      <c r="B192" s="7">
        <v>1</v>
      </c>
      <c r="C192" s="7" t="str">
        <f>A192&amp;-B192</f>
        <v>GW12-1</v>
      </c>
      <c r="D192" s="1" t="str">
        <f>IFERROR(VLOOKUP(E192,[1]FINAL!$A$2:$J$699,MATCH("Pos",[1]FINAL!$A$1:$J$1,0),0),"")</f>
        <v/>
      </c>
      <c r="E192" s="4" t="str">
        <f>IFERROR(VLOOKUP($A192&amp;$E175,DATA!$F$1:$G$500,MATCH("FULL IN",DATA!$F$1:$G$1,0),0),$E175)</f>
        <v>Player Name</v>
      </c>
      <c r="G192" s="2" t="str">
        <f>IFERROR(VLOOKUP(E192,[1]FINAL!$A$2:$M$699,MATCH("Team",[1]FINAL!$A$1:$K$1,0),0),"")</f>
        <v/>
      </c>
      <c r="I192" s="4" t="str">
        <f>IFERROR(VLOOKUP($A192&amp;$E175,DATA!$F$1:$H$500,MATCH("FULL OUT",DATA!$F$1:$H$1,0),0),"")</f>
        <v/>
      </c>
    </row>
    <row r="193" spans="1:9" x14ac:dyDescent="0.25">
      <c r="A193" s="6" t="str">
        <f>A192</f>
        <v>GW12</v>
      </c>
      <c r="B193" s="7">
        <v>2</v>
      </c>
      <c r="C193" s="7" t="str">
        <f t="shared" ref="C193:C206" si="32">A193&amp;-B193</f>
        <v>GW12-2</v>
      </c>
      <c r="D193" s="1" t="str">
        <f>IFERROR(VLOOKUP(E193,[1]FINAL!$A$2:$J$699,MATCH("Pos",[1]FINAL!$A$1:$J$1,0),0),"")</f>
        <v/>
      </c>
      <c r="E193" s="4" t="str">
        <f>IFERROR(VLOOKUP($A193&amp;$E176,DATA!$F$1:$G$500,MATCH("FULL IN",DATA!$F$1:$G$1,0),0),$E176)</f>
        <v/>
      </c>
      <c r="F193" s="2" t="str">
        <f>IF(Z193="","","IN")</f>
        <v/>
      </c>
      <c r="G193" s="2" t="str">
        <f>IFERROR(VLOOKUP(E193,[1]FINAL!$A$2:$M$699,MATCH("Team",[1]FINAL!$A$1:$K$1,0),0),"")</f>
        <v/>
      </c>
      <c r="I193" s="4" t="str">
        <f>IFERROR(VLOOKUP($A193&amp;$E176,DATA!$F$1:$H$500,MATCH("FULL OUT",DATA!$F$1:$H$1,0),0),"")</f>
        <v/>
      </c>
    </row>
    <row r="194" spans="1:9" x14ac:dyDescent="0.25">
      <c r="A194" s="6" t="str">
        <f t="shared" ref="A194:A206" si="33">A193</f>
        <v>GW12</v>
      </c>
      <c r="B194" s="7">
        <v>3</v>
      </c>
      <c r="C194" s="7" t="str">
        <f t="shared" si="32"/>
        <v>GW12-3</v>
      </c>
      <c r="D194" s="1" t="str">
        <f>IFERROR(VLOOKUP(E194,[1]FINAL!$A$2:$J$699,MATCH("Pos",[1]FINAL!$A$1:$J$1,0),0),"")</f>
        <v/>
      </c>
      <c r="E194" s="4" t="str">
        <f>IFERROR(VLOOKUP($A194&amp;$E177,DATA!$F$1:$G$500,MATCH("FULL IN",DATA!$F$1:$G$1,0),0),$E177)</f>
        <v/>
      </c>
      <c r="F194" s="2" t="str">
        <f t="shared" ref="F194:F206" si="34">IF(Z194="","","IN")</f>
        <v/>
      </c>
      <c r="G194" s="2" t="str">
        <f>IFERROR(VLOOKUP(E194,[1]FINAL!$A$2:$M$699,MATCH("Team",[1]FINAL!$A$1:$K$1,0),0),"")</f>
        <v/>
      </c>
      <c r="I194" s="4" t="str">
        <f>IFERROR(VLOOKUP($A194&amp;$E177,DATA!$F$1:$H$500,MATCH("FULL OUT",DATA!$F$1:$H$1,0),0),"")</f>
        <v/>
      </c>
    </row>
    <row r="195" spans="1:9" x14ac:dyDescent="0.25">
      <c r="A195" s="6" t="str">
        <f t="shared" si="33"/>
        <v>GW12</v>
      </c>
      <c r="B195" s="7">
        <v>4</v>
      </c>
      <c r="C195" s="7" t="str">
        <f t="shared" si="32"/>
        <v>GW12-4</v>
      </c>
      <c r="D195" s="1" t="str">
        <f>IFERROR(VLOOKUP(E195,[1]FINAL!$A$2:$J$699,MATCH("Pos",[1]FINAL!$A$1:$J$1,0),0),"")</f>
        <v/>
      </c>
      <c r="E195" s="4" t="str">
        <f>IFERROR(VLOOKUP($A195&amp;$E178,DATA!$F$1:$G$500,MATCH("FULL IN",DATA!$F$1:$G$1,0),0),$E178)</f>
        <v/>
      </c>
      <c r="F195" s="2" t="str">
        <f t="shared" si="34"/>
        <v/>
      </c>
      <c r="G195" s="2" t="str">
        <f>IFERROR(VLOOKUP(E195,[1]FINAL!$A$2:$M$699,MATCH("Team",[1]FINAL!$A$1:$K$1,0),0),"")</f>
        <v/>
      </c>
      <c r="I195" s="4" t="str">
        <f>IFERROR(VLOOKUP($A195&amp;$E178,DATA!$F$1:$H$500,MATCH("FULL OUT",DATA!$F$1:$H$1,0),0),"")</f>
        <v/>
      </c>
    </row>
    <row r="196" spans="1:9" x14ac:dyDescent="0.25">
      <c r="A196" s="6" t="str">
        <f t="shared" si="33"/>
        <v>GW12</v>
      </c>
      <c r="B196" s="7">
        <v>5</v>
      </c>
      <c r="C196" s="7" t="str">
        <f t="shared" si="32"/>
        <v>GW12-5</v>
      </c>
      <c r="D196" s="1" t="str">
        <f>IFERROR(VLOOKUP(E196,[1]FINAL!$A$2:$J$699,MATCH("Pos",[1]FINAL!$A$1:$J$1,0),0),"")</f>
        <v/>
      </c>
      <c r="E196" s="4" t="str">
        <f>IFERROR(VLOOKUP($A196&amp;$E179,DATA!$F$1:$G$500,MATCH("FULL IN",DATA!$F$1:$G$1,0),0),$E179)</f>
        <v/>
      </c>
      <c r="F196" s="2" t="str">
        <f t="shared" si="34"/>
        <v/>
      </c>
      <c r="G196" s="2" t="str">
        <f>IFERROR(VLOOKUP(E196,[1]FINAL!$A$2:$M$699,MATCH("Team",[1]FINAL!$A$1:$K$1,0),0),"")</f>
        <v/>
      </c>
      <c r="I196" s="4" t="str">
        <f>IFERROR(VLOOKUP($A196&amp;$E179,DATA!$F$1:$H$500,MATCH("FULL OUT",DATA!$F$1:$H$1,0),0),"")</f>
        <v/>
      </c>
    </row>
    <row r="197" spans="1:9" x14ac:dyDescent="0.25">
      <c r="A197" s="6" t="str">
        <f t="shared" si="33"/>
        <v>GW12</v>
      </c>
      <c r="B197" s="7">
        <v>6</v>
      </c>
      <c r="C197" s="7" t="str">
        <f t="shared" si="32"/>
        <v>GW12-6</v>
      </c>
      <c r="D197" s="1" t="str">
        <f>IFERROR(VLOOKUP(E197,[1]FINAL!$A$2:$J$699,MATCH("Pos",[1]FINAL!$A$1:$J$1,0),0),"")</f>
        <v/>
      </c>
      <c r="E197" s="4" t="str">
        <f>IFERROR(VLOOKUP($A197&amp;$E180,DATA!$F$1:$G$500,MATCH("FULL IN",DATA!$F$1:$G$1,0),0),$E180)</f>
        <v/>
      </c>
      <c r="F197" s="2" t="str">
        <f t="shared" si="34"/>
        <v/>
      </c>
      <c r="G197" s="2" t="str">
        <f>IFERROR(VLOOKUP(E197,[1]FINAL!$A$2:$M$699,MATCH("Team",[1]FINAL!$A$1:$K$1,0),0),"")</f>
        <v/>
      </c>
      <c r="I197" s="4" t="str">
        <f>IFERROR(VLOOKUP($A197&amp;$E180,DATA!$F$1:$H$500,MATCH("FULL OUT",DATA!$F$1:$H$1,0),0),"")</f>
        <v/>
      </c>
    </row>
    <row r="198" spans="1:9" x14ac:dyDescent="0.25">
      <c r="A198" s="6" t="str">
        <f t="shared" si="33"/>
        <v>GW12</v>
      </c>
      <c r="B198" s="7">
        <v>7</v>
      </c>
      <c r="C198" s="7" t="str">
        <f t="shared" si="32"/>
        <v>GW12-7</v>
      </c>
      <c r="D198" s="1" t="str">
        <f>IFERROR(VLOOKUP(E198,[1]FINAL!$A$2:$J$699,MATCH("Pos",[1]FINAL!$A$1:$J$1,0),0),"")</f>
        <v/>
      </c>
      <c r="E198" s="4" t="str">
        <f>IFERROR(VLOOKUP($A198&amp;$E181,DATA!$F$1:$G$500,MATCH("FULL IN",DATA!$F$1:$G$1,0),0),$E181)</f>
        <v/>
      </c>
      <c r="F198" s="2" t="str">
        <f t="shared" si="34"/>
        <v/>
      </c>
      <c r="G198" s="2" t="str">
        <f>IFERROR(VLOOKUP(E198,[1]FINAL!$A$2:$M$699,MATCH("Team",[1]FINAL!$A$1:$K$1,0),0),"")</f>
        <v/>
      </c>
      <c r="I198" s="4" t="str">
        <f>IFERROR(VLOOKUP($A198&amp;$E181,DATA!$F$1:$H$500,MATCH("FULL OUT",DATA!$F$1:$H$1,0),0),"")</f>
        <v/>
      </c>
    </row>
    <row r="199" spans="1:9" x14ac:dyDescent="0.25">
      <c r="A199" s="6" t="str">
        <f t="shared" si="33"/>
        <v>GW12</v>
      </c>
      <c r="B199" s="7">
        <v>8</v>
      </c>
      <c r="C199" s="7" t="str">
        <f t="shared" si="32"/>
        <v>GW12-8</v>
      </c>
      <c r="D199" s="1" t="str">
        <f>IFERROR(VLOOKUP(E199,[1]FINAL!$A$2:$J$699,MATCH("Pos",[1]FINAL!$A$1:$J$1,0),0),"")</f>
        <v/>
      </c>
      <c r="E199" s="4" t="str">
        <f>IFERROR(VLOOKUP($A199&amp;$E182,DATA!$F$1:$G$500,MATCH("FULL IN",DATA!$F$1:$G$1,0),0),$E182)</f>
        <v/>
      </c>
      <c r="F199" s="2" t="str">
        <f t="shared" si="34"/>
        <v/>
      </c>
      <c r="G199" s="2" t="str">
        <f>IFERROR(VLOOKUP(E199,[1]FINAL!$A$2:$M$699,MATCH("Team",[1]FINAL!$A$1:$K$1,0),0),"")</f>
        <v/>
      </c>
      <c r="I199" s="4" t="str">
        <f>IFERROR(VLOOKUP($A199&amp;$E182,DATA!$F$1:$H$500,MATCH("FULL OUT",DATA!$F$1:$H$1,0),0),"")</f>
        <v/>
      </c>
    </row>
    <row r="200" spans="1:9" x14ac:dyDescent="0.25">
      <c r="A200" s="6" t="str">
        <f t="shared" si="33"/>
        <v>GW12</v>
      </c>
      <c r="B200" s="7">
        <v>9</v>
      </c>
      <c r="C200" s="7" t="str">
        <f t="shared" si="32"/>
        <v>GW12-9</v>
      </c>
      <c r="D200" s="1" t="str">
        <f>IFERROR(VLOOKUP(E200,[1]FINAL!$A$2:$J$699,MATCH("Pos",[1]FINAL!$A$1:$J$1,0),0),"")</f>
        <v/>
      </c>
      <c r="E200" s="4" t="str">
        <f>IFERROR(VLOOKUP($A200&amp;$E183,DATA!$F$1:$G$500,MATCH("FULL IN",DATA!$F$1:$G$1,0),0),$E183)</f>
        <v/>
      </c>
      <c r="F200" s="2" t="str">
        <f t="shared" si="34"/>
        <v/>
      </c>
      <c r="G200" s="2" t="str">
        <f>IFERROR(VLOOKUP(E200,[1]FINAL!$A$2:$M$699,MATCH("Team",[1]FINAL!$A$1:$K$1,0),0),"")</f>
        <v/>
      </c>
      <c r="I200" s="4" t="str">
        <f>IFERROR(VLOOKUP($A200&amp;$E183,DATA!$F$1:$H$500,MATCH("FULL OUT",DATA!$F$1:$H$1,0),0),"")</f>
        <v/>
      </c>
    </row>
    <row r="201" spans="1:9" x14ac:dyDescent="0.25">
      <c r="A201" s="6" t="str">
        <f t="shared" si="33"/>
        <v>GW12</v>
      </c>
      <c r="B201" s="7">
        <v>10</v>
      </c>
      <c r="C201" s="7" t="str">
        <f t="shared" si="32"/>
        <v>GW12-10</v>
      </c>
      <c r="D201" s="1" t="str">
        <f>IFERROR(VLOOKUP(E201,[1]FINAL!$A$2:$J$699,MATCH("Pos",[1]FINAL!$A$1:$J$1,0),0),"")</f>
        <v/>
      </c>
      <c r="E201" s="4" t="str">
        <f>IFERROR(VLOOKUP($A201&amp;$E184,DATA!$F$1:$G$500,MATCH("FULL IN",DATA!$F$1:$G$1,0),0),$E184)</f>
        <v/>
      </c>
      <c r="F201" s="2" t="str">
        <f t="shared" si="34"/>
        <v/>
      </c>
      <c r="G201" s="2" t="str">
        <f>IFERROR(VLOOKUP(E201,[1]FINAL!$A$2:$M$699,MATCH("Team",[1]FINAL!$A$1:$K$1,0),0),"")</f>
        <v/>
      </c>
      <c r="I201" s="4" t="str">
        <f>IFERROR(VLOOKUP($A201&amp;$E184,DATA!$F$1:$H$500,MATCH("FULL OUT",DATA!$F$1:$H$1,0),0),"")</f>
        <v/>
      </c>
    </row>
    <row r="202" spans="1:9" x14ac:dyDescent="0.25">
      <c r="A202" s="6" t="str">
        <f t="shared" si="33"/>
        <v>GW12</v>
      </c>
      <c r="B202" s="7">
        <v>11</v>
      </c>
      <c r="C202" s="7" t="str">
        <f t="shared" si="32"/>
        <v>GW12-11</v>
      </c>
      <c r="D202" s="1" t="str">
        <f>IFERROR(VLOOKUP(E202,[1]FINAL!$A$2:$J$699,MATCH("Pos",[1]FINAL!$A$1:$J$1,0),0),"")</f>
        <v/>
      </c>
      <c r="E202" s="4" t="str">
        <f>IFERROR(VLOOKUP($A202&amp;$E185,DATA!$F$1:$G$500,MATCH("FULL IN",DATA!$F$1:$G$1,0),0),$E185)</f>
        <v/>
      </c>
      <c r="F202" s="2" t="str">
        <f t="shared" si="34"/>
        <v/>
      </c>
      <c r="G202" s="2" t="str">
        <f>IFERROR(VLOOKUP(E202,[1]FINAL!$A$2:$M$699,MATCH("Team",[1]FINAL!$A$1:$K$1,0),0),"")</f>
        <v/>
      </c>
      <c r="I202" s="4" t="str">
        <f>IFERROR(VLOOKUP($A202&amp;$E185,DATA!$F$1:$H$500,MATCH("FULL OUT",DATA!$F$1:$H$1,0),0),"")</f>
        <v/>
      </c>
    </row>
    <row r="203" spans="1:9" x14ac:dyDescent="0.25">
      <c r="A203" s="6" t="str">
        <f t="shared" si="33"/>
        <v>GW12</v>
      </c>
      <c r="B203" s="7">
        <v>12</v>
      </c>
      <c r="C203" s="7" t="str">
        <f t="shared" si="32"/>
        <v>GW12-12</v>
      </c>
      <c r="D203" s="1" t="str">
        <f>IFERROR(VLOOKUP(E203,[1]FINAL!$A$2:$J$699,MATCH("Pos",[1]FINAL!$A$1:$J$1,0),0),"")</f>
        <v/>
      </c>
      <c r="E203" s="4" t="str">
        <f>IFERROR(VLOOKUP($A203&amp;$E186,DATA!$F$1:$G$500,MATCH("FULL IN",DATA!$F$1:$G$1,0),0),$E186)</f>
        <v/>
      </c>
      <c r="F203" s="2" t="str">
        <f t="shared" si="34"/>
        <v/>
      </c>
      <c r="G203" s="2" t="str">
        <f>IFERROR(VLOOKUP(E203,[1]FINAL!$A$2:$M$699,MATCH("Team",[1]FINAL!$A$1:$K$1,0),0),"")</f>
        <v/>
      </c>
      <c r="I203" s="4" t="str">
        <f>IFERROR(VLOOKUP($A203&amp;$E186,DATA!$F$1:$H$500,MATCH("FULL OUT",DATA!$F$1:$H$1,0),0),"")</f>
        <v/>
      </c>
    </row>
    <row r="204" spans="1:9" x14ac:dyDescent="0.25">
      <c r="A204" s="6" t="str">
        <f t="shared" si="33"/>
        <v>GW12</v>
      </c>
      <c r="B204" s="7">
        <v>13</v>
      </c>
      <c r="C204" s="7" t="str">
        <f t="shared" si="32"/>
        <v>GW12-13</v>
      </c>
      <c r="D204" s="1" t="str">
        <f>IFERROR(VLOOKUP(E204,[1]FINAL!$A$2:$J$699,MATCH("Pos",[1]FINAL!$A$1:$J$1,0),0),"")</f>
        <v/>
      </c>
      <c r="E204" s="4" t="str">
        <f>IFERROR(VLOOKUP($A204&amp;$E187,DATA!$F$1:$G$500,MATCH("FULL IN",DATA!$F$1:$G$1,0),0),$E187)</f>
        <v/>
      </c>
      <c r="F204" s="2" t="str">
        <f t="shared" si="34"/>
        <v/>
      </c>
      <c r="G204" s="2" t="str">
        <f>IFERROR(VLOOKUP(E204,[1]FINAL!$A$2:$M$699,MATCH("Team",[1]FINAL!$A$1:$K$1,0),0),"")</f>
        <v/>
      </c>
      <c r="I204" s="4" t="str">
        <f>IFERROR(VLOOKUP($A204&amp;$E187,DATA!$F$1:$H$500,MATCH("FULL OUT",DATA!$F$1:$H$1,0),0),"")</f>
        <v/>
      </c>
    </row>
    <row r="205" spans="1:9" x14ac:dyDescent="0.25">
      <c r="A205" s="6" t="str">
        <f t="shared" si="33"/>
        <v>GW12</v>
      </c>
      <c r="B205" s="7">
        <v>14</v>
      </c>
      <c r="C205" s="7" t="str">
        <f t="shared" si="32"/>
        <v>GW12-14</v>
      </c>
      <c r="D205" s="1" t="str">
        <f>IFERROR(VLOOKUP(E205,[1]FINAL!$A$2:$J$699,MATCH("Pos",[1]FINAL!$A$1:$J$1,0),0),"")</f>
        <v/>
      </c>
      <c r="E205" s="4" t="str">
        <f>IFERROR(VLOOKUP($A205&amp;$E188,DATA!$F$1:$G$500,MATCH("FULL IN",DATA!$F$1:$G$1,0),0),$E188)</f>
        <v/>
      </c>
      <c r="F205" s="2" t="str">
        <f t="shared" si="34"/>
        <v/>
      </c>
      <c r="G205" s="2" t="str">
        <f>IFERROR(VLOOKUP(E205,[1]FINAL!$A$2:$M$699,MATCH("Team",[1]FINAL!$A$1:$K$1,0),0),"")</f>
        <v/>
      </c>
      <c r="I205" s="4" t="str">
        <f>IFERROR(VLOOKUP($A205&amp;$E188,DATA!$F$1:$H$500,MATCH("FULL OUT",DATA!$F$1:$H$1,0),0),"")</f>
        <v/>
      </c>
    </row>
    <row r="206" spans="1:9" x14ac:dyDescent="0.25">
      <c r="A206" s="6" t="str">
        <f t="shared" si="33"/>
        <v>GW12</v>
      </c>
      <c r="B206" s="7">
        <v>15</v>
      </c>
      <c r="C206" s="7" t="str">
        <f t="shared" si="32"/>
        <v>GW12-15</v>
      </c>
      <c r="D206" s="1" t="str">
        <f>IFERROR(VLOOKUP(E206,[1]FINAL!$A$2:$J$699,MATCH("Pos",[1]FINAL!$A$1:$J$1,0),0),"")</f>
        <v/>
      </c>
      <c r="E206" s="4" t="str">
        <f>IFERROR(VLOOKUP($A206&amp;$E189,DATA!$F$1:$G$500,MATCH("FULL IN",DATA!$F$1:$G$1,0),0),$E189)</f>
        <v/>
      </c>
      <c r="F206" s="2" t="str">
        <f t="shared" si="34"/>
        <v/>
      </c>
      <c r="G206" s="2" t="str">
        <f>IFERROR(VLOOKUP(E206,[1]FINAL!$A$2:$M$699,MATCH("Team",[1]FINAL!$A$1:$K$1,0),0),"")</f>
        <v/>
      </c>
      <c r="I206" s="4" t="str">
        <f>IFERROR(VLOOKUP($A206&amp;$E189,DATA!$F$1:$H$500,MATCH("FULL OUT",DATA!$F$1:$H$1,0),0),"")</f>
        <v/>
      </c>
    </row>
    <row r="209" spans="1:9" x14ac:dyDescent="0.25">
      <c r="A209" s="6" t="s">
        <v>15</v>
      </c>
      <c r="B209" s="7">
        <v>1</v>
      </c>
      <c r="C209" s="7" t="str">
        <f>A209&amp;-B209</f>
        <v>GW13-1</v>
      </c>
      <c r="D209" s="1" t="str">
        <f>IFERROR(VLOOKUP(E209,[1]FINAL!$A$2:$J$699,MATCH("Pos",[1]FINAL!$A$1:$J$1,0),0),"")</f>
        <v/>
      </c>
      <c r="E209" s="4" t="str">
        <f>IFERROR(VLOOKUP($A209&amp;$E192,DATA!$F$1:$G$500,MATCH("FULL IN",DATA!$F$1:$G$1,0),0),$E192)</f>
        <v>Player Name</v>
      </c>
      <c r="G209" s="2" t="str">
        <f>IFERROR(VLOOKUP(E209,[1]FINAL!$A$2:$M$699,MATCH("Team",[1]FINAL!$A$1:$K$1,0),0),"")</f>
        <v/>
      </c>
      <c r="I209" s="4" t="str">
        <f>IFERROR(VLOOKUP($A209&amp;$E192,DATA!$F$1:$H$500,MATCH("FULL OUT",DATA!$F$1:$H$1,0),0),"")</f>
        <v/>
      </c>
    </row>
    <row r="210" spans="1:9" x14ac:dyDescent="0.25">
      <c r="A210" s="6" t="str">
        <f>A209</f>
        <v>GW13</v>
      </c>
      <c r="B210" s="7">
        <v>2</v>
      </c>
      <c r="C210" s="7" t="str">
        <f t="shared" ref="C210:C223" si="35">A210&amp;-B210</f>
        <v>GW13-2</v>
      </c>
      <c r="D210" s="1" t="str">
        <f>IFERROR(VLOOKUP(E210,[1]FINAL!$A$2:$J$699,MATCH("Pos",[1]FINAL!$A$1:$J$1,0),0),"")</f>
        <v/>
      </c>
      <c r="E210" s="4" t="str">
        <f>IFERROR(VLOOKUP($A210&amp;$E193,DATA!$F$1:$G$500,MATCH("FULL IN",DATA!$F$1:$G$1,0),0),$E193)</f>
        <v/>
      </c>
      <c r="F210" s="2" t="str">
        <f>IF(Z210="","","IN")</f>
        <v/>
      </c>
      <c r="G210" s="2" t="str">
        <f>IFERROR(VLOOKUP(E210,[1]FINAL!$A$2:$M$699,MATCH("Team",[1]FINAL!$A$1:$K$1,0),0),"")</f>
        <v/>
      </c>
      <c r="I210" s="4" t="str">
        <f>IFERROR(VLOOKUP($A210&amp;$E193,DATA!$F$1:$H$500,MATCH("FULL OUT",DATA!$F$1:$H$1,0),0),"")</f>
        <v/>
      </c>
    </row>
    <row r="211" spans="1:9" x14ac:dyDescent="0.25">
      <c r="A211" s="6" t="str">
        <f t="shared" ref="A211:A223" si="36">A210</f>
        <v>GW13</v>
      </c>
      <c r="B211" s="7">
        <v>3</v>
      </c>
      <c r="C211" s="7" t="str">
        <f t="shared" si="35"/>
        <v>GW13-3</v>
      </c>
      <c r="D211" s="1" t="str">
        <f>IFERROR(VLOOKUP(E211,[1]FINAL!$A$2:$J$699,MATCH("Pos",[1]FINAL!$A$1:$J$1,0),0),"")</f>
        <v/>
      </c>
      <c r="E211" s="4" t="str">
        <f>IFERROR(VLOOKUP($A211&amp;$E194,DATA!$F$1:$G$500,MATCH("FULL IN",DATA!$F$1:$G$1,0),0),$E194)</f>
        <v/>
      </c>
      <c r="F211" s="2" t="str">
        <f t="shared" ref="F211:F223" si="37">IF(Z211="","","IN")</f>
        <v/>
      </c>
      <c r="G211" s="2" t="str">
        <f>IFERROR(VLOOKUP(E211,[1]FINAL!$A$2:$M$699,MATCH("Team",[1]FINAL!$A$1:$K$1,0),0),"")</f>
        <v/>
      </c>
      <c r="I211" s="4" t="str">
        <f>IFERROR(VLOOKUP($A211&amp;$E194,DATA!$F$1:$H$500,MATCH("FULL OUT",DATA!$F$1:$H$1,0),0),"")</f>
        <v/>
      </c>
    </row>
    <row r="212" spans="1:9" x14ac:dyDescent="0.25">
      <c r="A212" s="6" t="str">
        <f t="shared" si="36"/>
        <v>GW13</v>
      </c>
      <c r="B212" s="7">
        <v>4</v>
      </c>
      <c r="C212" s="7" t="str">
        <f t="shared" si="35"/>
        <v>GW13-4</v>
      </c>
      <c r="D212" s="1" t="str">
        <f>IFERROR(VLOOKUP(E212,[1]FINAL!$A$2:$J$699,MATCH("Pos",[1]FINAL!$A$1:$J$1,0),0),"")</f>
        <v/>
      </c>
      <c r="E212" s="4" t="str">
        <f>IFERROR(VLOOKUP($A212&amp;$E195,DATA!$F$1:$G$500,MATCH("FULL IN",DATA!$F$1:$G$1,0),0),$E195)</f>
        <v/>
      </c>
      <c r="F212" s="2" t="str">
        <f t="shared" si="37"/>
        <v/>
      </c>
      <c r="G212" s="2" t="str">
        <f>IFERROR(VLOOKUP(E212,[1]FINAL!$A$2:$M$699,MATCH("Team",[1]FINAL!$A$1:$K$1,0),0),"")</f>
        <v/>
      </c>
      <c r="I212" s="4" t="str">
        <f>IFERROR(VLOOKUP($A212&amp;$E195,DATA!$F$1:$H$500,MATCH("FULL OUT",DATA!$F$1:$H$1,0),0),"")</f>
        <v/>
      </c>
    </row>
    <row r="213" spans="1:9" x14ac:dyDescent="0.25">
      <c r="A213" s="6" t="str">
        <f t="shared" si="36"/>
        <v>GW13</v>
      </c>
      <c r="B213" s="7">
        <v>5</v>
      </c>
      <c r="C213" s="7" t="str">
        <f t="shared" si="35"/>
        <v>GW13-5</v>
      </c>
      <c r="D213" s="1" t="str">
        <f>IFERROR(VLOOKUP(E213,[1]FINAL!$A$2:$J$699,MATCH("Pos",[1]FINAL!$A$1:$J$1,0),0),"")</f>
        <v/>
      </c>
      <c r="E213" s="4" t="str">
        <f>IFERROR(VLOOKUP($A213&amp;$E196,DATA!$F$1:$G$500,MATCH("FULL IN",DATA!$F$1:$G$1,0),0),$E196)</f>
        <v/>
      </c>
      <c r="F213" s="2" t="str">
        <f t="shared" si="37"/>
        <v/>
      </c>
      <c r="G213" s="2" t="str">
        <f>IFERROR(VLOOKUP(E213,[1]FINAL!$A$2:$M$699,MATCH("Team",[1]FINAL!$A$1:$K$1,0),0),"")</f>
        <v/>
      </c>
      <c r="I213" s="4" t="str">
        <f>IFERROR(VLOOKUP($A213&amp;$E196,DATA!$F$1:$H$500,MATCH("FULL OUT",DATA!$F$1:$H$1,0),0),"")</f>
        <v/>
      </c>
    </row>
    <row r="214" spans="1:9" x14ac:dyDescent="0.25">
      <c r="A214" s="6" t="str">
        <f t="shared" si="36"/>
        <v>GW13</v>
      </c>
      <c r="B214" s="7">
        <v>6</v>
      </c>
      <c r="C214" s="7" t="str">
        <f t="shared" si="35"/>
        <v>GW13-6</v>
      </c>
      <c r="D214" s="1" t="str">
        <f>IFERROR(VLOOKUP(E214,[1]FINAL!$A$2:$J$699,MATCH("Pos",[1]FINAL!$A$1:$J$1,0),0),"")</f>
        <v/>
      </c>
      <c r="E214" s="4" t="str">
        <f>IFERROR(VLOOKUP($A214&amp;$E197,DATA!$F$1:$G$500,MATCH("FULL IN",DATA!$F$1:$G$1,0),0),$E197)</f>
        <v/>
      </c>
      <c r="F214" s="2" t="str">
        <f t="shared" si="37"/>
        <v/>
      </c>
      <c r="G214" s="2" t="str">
        <f>IFERROR(VLOOKUP(E214,[1]FINAL!$A$2:$M$699,MATCH("Team",[1]FINAL!$A$1:$K$1,0),0),"")</f>
        <v/>
      </c>
      <c r="I214" s="4" t="str">
        <f>IFERROR(VLOOKUP($A214&amp;$E197,DATA!$F$1:$H$500,MATCH("FULL OUT",DATA!$F$1:$H$1,0),0),"")</f>
        <v/>
      </c>
    </row>
    <row r="215" spans="1:9" x14ac:dyDescent="0.25">
      <c r="A215" s="6" t="str">
        <f t="shared" si="36"/>
        <v>GW13</v>
      </c>
      <c r="B215" s="7">
        <v>7</v>
      </c>
      <c r="C215" s="7" t="str">
        <f t="shared" si="35"/>
        <v>GW13-7</v>
      </c>
      <c r="D215" s="1" t="str">
        <f>IFERROR(VLOOKUP(E215,[1]FINAL!$A$2:$J$699,MATCH("Pos",[1]FINAL!$A$1:$J$1,0),0),"")</f>
        <v/>
      </c>
      <c r="E215" s="4" t="str">
        <f>IFERROR(VLOOKUP($A215&amp;$E198,DATA!$F$1:$G$500,MATCH("FULL IN",DATA!$F$1:$G$1,0),0),$E198)</f>
        <v/>
      </c>
      <c r="F215" s="2" t="str">
        <f t="shared" si="37"/>
        <v/>
      </c>
      <c r="G215" s="2" t="str">
        <f>IFERROR(VLOOKUP(E215,[1]FINAL!$A$2:$M$699,MATCH("Team",[1]FINAL!$A$1:$K$1,0),0),"")</f>
        <v/>
      </c>
      <c r="I215" s="4" t="str">
        <f>IFERROR(VLOOKUP($A215&amp;$E198,DATA!$F$1:$H$500,MATCH("FULL OUT",DATA!$F$1:$H$1,0),0),"")</f>
        <v/>
      </c>
    </row>
    <row r="216" spans="1:9" x14ac:dyDescent="0.25">
      <c r="A216" s="6" t="str">
        <f t="shared" si="36"/>
        <v>GW13</v>
      </c>
      <c r="B216" s="7">
        <v>8</v>
      </c>
      <c r="C216" s="7" t="str">
        <f t="shared" si="35"/>
        <v>GW13-8</v>
      </c>
      <c r="D216" s="1" t="str">
        <f>IFERROR(VLOOKUP(E216,[1]FINAL!$A$2:$J$699,MATCH("Pos",[1]FINAL!$A$1:$J$1,0),0),"")</f>
        <v/>
      </c>
      <c r="E216" s="4" t="str">
        <f>IFERROR(VLOOKUP($A216&amp;$E199,DATA!$F$1:$G$500,MATCH("FULL IN",DATA!$F$1:$G$1,0),0),$E199)</f>
        <v/>
      </c>
      <c r="F216" s="2" t="str">
        <f t="shared" si="37"/>
        <v/>
      </c>
      <c r="G216" s="2" t="str">
        <f>IFERROR(VLOOKUP(E216,[1]FINAL!$A$2:$M$699,MATCH("Team",[1]FINAL!$A$1:$K$1,0),0),"")</f>
        <v/>
      </c>
      <c r="I216" s="4" t="str">
        <f>IFERROR(VLOOKUP($A216&amp;$E199,DATA!$F$1:$H$500,MATCH("FULL OUT",DATA!$F$1:$H$1,0),0),"")</f>
        <v/>
      </c>
    </row>
    <row r="217" spans="1:9" x14ac:dyDescent="0.25">
      <c r="A217" s="6" t="str">
        <f t="shared" si="36"/>
        <v>GW13</v>
      </c>
      <c r="B217" s="7">
        <v>9</v>
      </c>
      <c r="C217" s="7" t="str">
        <f t="shared" si="35"/>
        <v>GW13-9</v>
      </c>
      <c r="D217" s="1" t="str">
        <f>IFERROR(VLOOKUP(E217,[1]FINAL!$A$2:$J$699,MATCH("Pos",[1]FINAL!$A$1:$J$1,0),0),"")</f>
        <v/>
      </c>
      <c r="E217" s="4" t="str">
        <f>IFERROR(VLOOKUP($A217&amp;$E200,DATA!$F$1:$G$500,MATCH("FULL IN",DATA!$F$1:$G$1,0),0),$E200)</f>
        <v/>
      </c>
      <c r="F217" s="2" t="str">
        <f t="shared" si="37"/>
        <v/>
      </c>
      <c r="G217" s="2" t="str">
        <f>IFERROR(VLOOKUP(E217,[1]FINAL!$A$2:$M$699,MATCH("Team",[1]FINAL!$A$1:$K$1,0),0),"")</f>
        <v/>
      </c>
      <c r="I217" s="4" t="str">
        <f>IFERROR(VLOOKUP($A217&amp;$E200,DATA!$F$1:$H$500,MATCH("FULL OUT",DATA!$F$1:$H$1,0),0),"")</f>
        <v/>
      </c>
    </row>
    <row r="218" spans="1:9" x14ac:dyDescent="0.25">
      <c r="A218" s="6" t="str">
        <f t="shared" si="36"/>
        <v>GW13</v>
      </c>
      <c r="B218" s="7">
        <v>10</v>
      </c>
      <c r="C218" s="7" t="str">
        <f t="shared" si="35"/>
        <v>GW13-10</v>
      </c>
      <c r="D218" s="1" t="str">
        <f>IFERROR(VLOOKUP(E218,[1]FINAL!$A$2:$J$699,MATCH("Pos",[1]FINAL!$A$1:$J$1,0),0),"")</f>
        <v/>
      </c>
      <c r="E218" s="4" t="str">
        <f>IFERROR(VLOOKUP($A218&amp;$E201,DATA!$F$1:$G$500,MATCH("FULL IN",DATA!$F$1:$G$1,0),0),$E201)</f>
        <v/>
      </c>
      <c r="F218" s="2" t="str">
        <f t="shared" si="37"/>
        <v/>
      </c>
      <c r="G218" s="2" t="str">
        <f>IFERROR(VLOOKUP(E218,[1]FINAL!$A$2:$M$699,MATCH("Team",[1]FINAL!$A$1:$K$1,0),0),"")</f>
        <v/>
      </c>
      <c r="I218" s="4" t="str">
        <f>IFERROR(VLOOKUP($A218&amp;$E201,DATA!$F$1:$H$500,MATCH("FULL OUT",DATA!$F$1:$H$1,0),0),"")</f>
        <v/>
      </c>
    </row>
    <row r="219" spans="1:9" x14ac:dyDescent="0.25">
      <c r="A219" s="6" t="str">
        <f t="shared" si="36"/>
        <v>GW13</v>
      </c>
      <c r="B219" s="7">
        <v>11</v>
      </c>
      <c r="C219" s="7" t="str">
        <f t="shared" si="35"/>
        <v>GW13-11</v>
      </c>
      <c r="D219" s="1" t="str">
        <f>IFERROR(VLOOKUP(E219,[1]FINAL!$A$2:$J$699,MATCH("Pos",[1]FINAL!$A$1:$J$1,0),0),"")</f>
        <v/>
      </c>
      <c r="E219" s="4" t="str">
        <f>IFERROR(VLOOKUP($A219&amp;$E202,DATA!$F$1:$G$500,MATCH("FULL IN",DATA!$F$1:$G$1,0),0),$E202)</f>
        <v/>
      </c>
      <c r="F219" s="2" t="str">
        <f t="shared" si="37"/>
        <v/>
      </c>
      <c r="G219" s="2" t="str">
        <f>IFERROR(VLOOKUP(E219,[1]FINAL!$A$2:$M$699,MATCH("Team",[1]FINAL!$A$1:$K$1,0),0),"")</f>
        <v/>
      </c>
      <c r="I219" s="4" t="str">
        <f>IFERROR(VLOOKUP($A219&amp;$E202,DATA!$F$1:$H$500,MATCH("FULL OUT",DATA!$F$1:$H$1,0),0),"")</f>
        <v/>
      </c>
    </row>
    <row r="220" spans="1:9" x14ac:dyDescent="0.25">
      <c r="A220" s="6" t="str">
        <f t="shared" si="36"/>
        <v>GW13</v>
      </c>
      <c r="B220" s="7">
        <v>12</v>
      </c>
      <c r="C220" s="7" t="str">
        <f t="shared" si="35"/>
        <v>GW13-12</v>
      </c>
      <c r="D220" s="1" t="str">
        <f>IFERROR(VLOOKUP(E220,[1]FINAL!$A$2:$J$699,MATCH("Pos",[1]FINAL!$A$1:$J$1,0),0),"")</f>
        <v/>
      </c>
      <c r="E220" s="4" t="str">
        <f>IFERROR(VLOOKUP($A220&amp;$E203,DATA!$F$1:$G$500,MATCH("FULL IN",DATA!$F$1:$G$1,0),0),$E203)</f>
        <v/>
      </c>
      <c r="F220" s="2" t="str">
        <f t="shared" si="37"/>
        <v/>
      </c>
      <c r="G220" s="2" t="str">
        <f>IFERROR(VLOOKUP(E220,[1]FINAL!$A$2:$M$699,MATCH("Team",[1]FINAL!$A$1:$K$1,0),0),"")</f>
        <v/>
      </c>
      <c r="I220" s="4" t="str">
        <f>IFERROR(VLOOKUP($A220&amp;$E203,DATA!$F$1:$H$500,MATCH("FULL OUT",DATA!$F$1:$H$1,0),0),"")</f>
        <v/>
      </c>
    </row>
    <row r="221" spans="1:9" x14ac:dyDescent="0.25">
      <c r="A221" s="6" t="str">
        <f t="shared" si="36"/>
        <v>GW13</v>
      </c>
      <c r="B221" s="7">
        <v>13</v>
      </c>
      <c r="C221" s="7" t="str">
        <f t="shared" si="35"/>
        <v>GW13-13</v>
      </c>
      <c r="D221" s="1" t="str">
        <f>IFERROR(VLOOKUP(E221,[1]FINAL!$A$2:$J$699,MATCH("Pos",[1]FINAL!$A$1:$J$1,0),0),"")</f>
        <v/>
      </c>
      <c r="E221" s="4" t="str">
        <f>IFERROR(VLOOKUP($A221&amp;$E204,DATA!$F$1:$G$500,MATCH("FULL IN",DATA!$F$1:$G$1,0),0),$E204)</f>
        <v/>
      </c>
      <c r="F221" s="2" t="str">
        <f t="shared" si="37"/>
        <v/>
      </c>
      <c r="G221" s="2" t="str">
        <f>IFERROR(VLOOKUP(E221,[1]FINAL!$A$2:$M$699,MATCH("Team",[1]FINAL!$A$1:$K$1,0),0),"")</f>
        <v/>
      </c>
      <c r="I221" s="4" t="str">
        <f>IFERROR(VLOOKUP($A221&amp;$E204,DATA!$F$1:$H$500,MATCH("FULL OUT",DATA!$F$1:$H$1,0),0),"")</f>
        <v/>
      </c>
    </row>
    <row r="222" spans="1:9" x14ac:dyDescent="0.25">
      <c r="A222" s="6" t="str">
        <f t="shared" si="36"/>
        <v>GW13</v>
      </c>
      <c r="B222" s="7">
        <v>14</v>
      </c>
      <c r="C222" s="7" t="str">
        <f t="shared" si="35"/>
        <v>GW13-14</v>
      </c>
      <c r="D222" s="1" t="str">
        <f>IFERROR(VLOOKUP(E222,[1]FINAL!$A$2:$J$699,MATCH("Pos",[1]FINAL!$A$1:$J$1,0),0),"")</f>
        <v/>
      </c>
      <c r="E222" s="4" t="str">
        <f>IFERROR(VLOOKUP($A222&amp;$E205,DATA!$F$1:$G$500,MATCH("FULL IN",DATA!$F$1:$G$1,0),0),$E205)</f>
        <v/>
      </c>
      <c r="F222" s="2" t="str">
        <f t="shared" si="37"/>
        <v/>
      </c>
      <c r="G222" s="2" t="str">
        <f>IFERROR(VLOOKUP(E222,[1]FINAL!$A$2:$M$699,MATCH("Team",[1]FINAL!$A$1:$K$1,0),0),"")</f>
        <v/>
      </c>
      <c r="I222" s="4" t="str">
        <f>IFERROR(VLOOKUP($A222&amp;$E205,DATA!$F$1:$H$500,MATCH("FULL OUT",DATA!$F$1:$H$1,0),0),"")</f>
        <v/>
      </c>
    </row>
    <row r="223" spans="1:9" x14ac:dyDescent="0.25">
      <c r="A223" s="6" t="str">
        <f t="shared" si="36"/>
        <v>GW13</v>
      </c>
      <c r="B223" s="7">
        <v>15</v>
      </c>
      <c r="C223" s="7" t="str">
        <f t="shared" si="35"/>
        <v>GW13-15</v>
      </c>
      <c r="D223" s="1" t="str">
        <f>IFERROR(VLOOKUP(E223,[1]FINAL!$A$2:$J$699,MATCH("Pos",[1]FINAL!$A$1:$J$1,0),0),"")</f>
        <v/>
      </c>
      <c r="E223" s="4" t="str">
        <f>IFERROR(VLOOKUP($A223&amp;$E206,DATA!$F$1:$G$500,MATCH("FULL IN",DATA!$F$1:$G$1,0),0),$E206)</f>
        <v/>
      </c>
      <c r="F223" s="2" t="str">
        <f t="shared" si="37"/>
        <v/>
      </c>
      <c r="G223" s="2" t="str">
        <f>IFERROR(VLOOKUP(E223,[1]FINAL!$A$2:$M$699,MATCH("Team",[1]FINAL!$A$1:$K$1,0),0),"")</f>
        <v/>
      </c>
      <c r="I223" s="4" t="str">
        <f>IFERROR(VLOOKUP($A223&amp;$E206,DATA!$F$1:$H$500,MATCH("FULL OUT",DATA!$F$1:$H$1,0),0),"")</f>
        <v/>
      </c>
    </row>
    <row r="226" spans="1:9" x14ac:dyDescent="0.25">
      <c r="A226" s="6" t="s">
        <v>16</v>
      </c>
      <c r="B226" s="7">
        <v>1</v>
      </c>
      <c r="C226" s="7" t="str">
        <f>A226&amp;-B226</f>
        <v>GW14-1</v>
      </c>
      <c r="D226" s="1" t="str">
        <f>IFERROR(VLOOKUP(E226,[1]FINAL!$A$2:$J$699,MATCH("Pos",[1]FINAL!$A$1:$J$1,0),0),"")</f>
        <v/>
      </c>
      <c r="E226" s="4" t="str">
        <f>IFERROR(VLOOKUP($A226&amp;$E209,DATA!$F$1:$G$500,MATCH("FULL IN",DATA!$F$1:$G$1,0),0),$E209)</f>
        <v>Player Name</v>
      </c>
      <c r="G226" s="2" t="str">
        <f>IFERROR(VLOOKUP(E226,[1]FINAL!$A$2:$M$699,MATCH("Team",[1]FINAL!$A$1:$K$1,0),0),"")</f>
        <v/>
      </c>
      <c r="I226" s="4" t="str">
        <f>IFERROR(VLOOKUP($A226&amp;$E209,DATA!$F$1:$H$500,MATCH("FULL OUT",DATA!$F$1:$H$1,0),0),"")</f>
        <v/>
      </c>
    </row>
    <row r="227" spans="1:9" x14ac:dyDescent="0.25">
      <c r="A227" s="6" t="str">
        <f>A226</f>
        <v>GW14</v>
      </c>
      <c r="B227" s="7">
        <v>2</v>
      </c>
      <c r="C227" s="7" t="str">
        <f t="shared" ref="C227:C240" si="38">A227&amp;-B227</f>
        <v>GW14-2</v>
      </c>
      <c r="D227" s="1" t="str">
        <f>IFERROR(VLOOKUP(E227,[1]FINAL!$A$2:$J$699,MATCH("Pos",[1]FINAL!$A$1:$J$1,0),0),"")</f>
        <v/>
      </c>
      <c r="E227" s="4" t="str">
        <f>IFERROR(VLOOKUP($A227&amp;$E210,DATA!$F$1:$G$500,MATCH("FULL IN",DATA!$F$1:$G$1,0),0),$E210)</f>
        <v/>
      </c>
      <c r="F227" s="2" t="str">
        <f>IF(Z227="","","IN")</f>
        <v/>
      </c>
      <c r="G227" s="2" t="str">
        <f>IFERROR(VLOOKUP(E227,[1]FINAL!$A$2:$M$699,MATCH("Team",[1]FINAL!$A$1:$K$1,0),0),"")</f>
        <v/>
      </c>
      <c r="I227" s="4" t="str">
        <f>IFERROR(VLOOKUP($A227&amp;$E210,DATA!$F$1:$H$500,MATCH("FULL OUT",DATA!$F$1:$H$1,0),0),"")</f>
        <v/>
      </c>
    </row>
    <row r="228" spans="1:9" x14ac:dyDescent="0.25">
      <c r="A228" s="6" t="str">
        <f t="shared" ref="A228:A240" si="39">A227</f>
        <v>GW14</v>
      </c>
      <c r="B228" s="7">
        <v>3</v>
      </c>
      <c r="C228" s="7" t="str">
        <f t="shared" si="38"/>
        <v>GW14-3</v>
      </c>
      <c r="D228" s="1" t="str">
        <f>IFERROR(VLOOKUP(E228,[1]FINAL!$A$2:$J$699,MATCH("Pos",[1]FINAL!$A$1:$J$1,0),0),"")</f>
        <v/>
      </c>
      <c r="E228" s="4" t="str">
        <f>IFERROR(VLOOKUP($A228&amp;$E211,DATA!$F$1:$G$500,MATCH("FULL IN",DATA!$F$1:$G$1,0),0),$E211)</f>
        <v/>
      </c>
      <c r="F228" s="2" t="str">
        <f t="shared" ref="F228:F240" si="40">IF(Z228="","","IN")</f>
        <v/>
      </c>
      <c r="G228" s="2" t="str">
        <f>IFERROR(VLOOKUP(E228,[1]FINAL!$A$2:$M$699,MATCH("Team",[1]FINAL!$A$1:$K$1,0),0),"")</f>
        <v/>
      </c>
      <c r="I228" s="4" t="str">
        <f>IFERROR(VLOOKUP($A228&amp;$E211,DATA!$F$1:$H$500,MATCH("FULL OUT",DATA!$F$1:$H$1,0),0),"")</f>
        <v/>
      </c>
    </row>
    <row r="229" spans="1:9" x14ac:dyDescent="0.25">
      <c r="A229" s="6" t="str">
        <f t="shared" si="39"/>
        <v>GW14</v>
      </c>
      <c r="B229" s="7">
        <v>4</v>
      </c>
      <c r="C229" s="7" t="str">
        <f t="shared" si="38"/>
        <v>GW14-4</v>
      </c>
      <c r="D229" s="1" t="str">
        <f>IFERROR(VLOOKUP(E229,[1]FINAL!$A$2:$J$699,MATCH("Pos",[1]FINAL!$A$1:$J$1,0),0),"")</f>
        <v/>
      </c>
      <c r="E229" s="4" t="str">
        <f>IFERROR(VLOOKUP($A229&amp;$E212,DATA!$F$1:$G$500,MATCH("FULL IN",DATA!$F$1:$G$1,0),0),$E212)</f>
        <v/>
      </c>
      <c r="F229" s="2" t="str">
        <f t="shared" si="40"/>
        <v/>
      </c>
      <c r="G229" s="2" t="str">
        <f>IFERROR(VLOOKUP(E229,[1]FINAL!$A$2:$M$699,MATCH("Team",[1]FINAL!$A$1:$K$1,0),0),"")</f>
        <v/>
      </c>
      <c r="I229" s="4" t="str">
        <f>IFERROR(VLOOKUP($A229&amp;$E212,DATA!$F$1:$H$500,MATCH("FULL OUT",DATA!$F$1:$H$1,0),0),"")</f>
        <v/>
      </c>
    </row>
    <row r="230" spans="1:9" x14ac:dyDescent="0.25">
      <c r="A230" s="6" t="str">
        <f t="shared" si="39"/>
        <v>GW14</v>
      </c>
      <c r="B230" s="7">
        <v>5</v>
      </c>
      <c r="C230" s="7" t="str">
        <f t="shared" si="38"/>
        <v>GW14-5</v>
      </c>
      <c r="D230" s="1" t="str">
        <f>IFERROR(VLOOKUP(E230,[1]FINAL!$A$2:$J$699,MATCH("Pos",[1]FINAL!$A$1:$J$1,0),0),"")</f>
        <v/>
      </c>
      <c r="E230" s="4" t="str">
        <f>IFERROR(VLOOKUP($A230&amp;$E213,DATA!$F$1:$G$500,MATCH("FULL IN",DATA!$F$1:$G$1,0),0),$E213)</f>
        <v/>
      </c>
      <c r="F230" s="2" t="str">
        <f t="shared" si="40"/>
        <v/>
      </c>
      <c r="G230" s="2" t="str">
        <f>IFERROR(VLOOKUP(E230,[1]FINAL!$A$2:$M$699,MATCH("Team",[1]FINAL!$A$1:$K$1,0),0),"")</f>
        <v/>
      </c>
      <c r="I230" s="4" t="str">
        <f>IFERROR(VLOOKUP($A230&amp;$E213,DATA!$F$1:$H$500,MATCH("FULL OUT",DATA!$F$1:$H$1,0),0),"")</f>
        <v/>
      </c>
    </row>
    <row r="231" spans="1:9" x14ac:dyDescent="0.25">
      <c r="A231" s="6" t="str">
        <f t="shared" si="39"/>
        <v>GW14</v>
      </c>
      <c r="B231" s="7">
        <v>6</v>
      </c>
      <c r="C231" s="7" t="str">
        <f t="shared" si="38"/>
        <v>GW14-6</v>
      </c>
      <c r="D231" s="1" t="str">
        <f>IFERROR(VLOOKUP(E231,[1]FINAL!$A$2:$J$699,MATCH("Pos",[1]FINAL!$A$1:$J$1,0),0),"")</f>
        <v/>
      </c>
      <c r="E231" s="4" t="str">
        <f>IFERROR(VLOOKUP($A231&amp;$E214,DATA!$F$1:$G$500,MATCH("FULL IN",DATA!$F$1:$G$1,0),0),$E214)</f>
        <v/>
      </c>
      <c r="F231" s="2" t="str">
        <f t="shared" si="40"/>
        <v/>
      </c>
      <c r="G231" s="2" t="str">
        <f>IFERROR(VLOOKUP(E231,[1]FINAL!$A$2:$M$699,MATCH("Team",[1]FINAL!$A$1:$K$1,0),0),"")</f>
        <v/>
      </c>
      <c r="I231" s="4" t="str">
        <f>IFERROR(VLOOKUP($A231&amp;$E214,DATA!$F$1:$H$500,MATCH("FULL OUT",DATA!$F$1:$H$1,0),0),"")</f>
        <v/>
      </c>
    </row>
    <row r="232" spans="1:9" x14ac:dyDescent="0.25">
      <c r="A232" s="6" t="str">
        <f t="shared" si="39"/>
        <v>GW14</v>
      </c>
      <c r="B232" s="7">
        <v>7</v>
      </c>
      <c r="C232" s="7" t="str">
        <f t="shared" si="38"/>
        <v>GW14-7</v>
      </c>
      <c r="D232" s="1" t="str">
        <f>IFERROR(VLOOKUP(E232,[1]FINAL!$A$2:$J$699,MATCH("Pos",[1]FINAL!$A$1:$J$1,0),0),"")</f>
        <v/>
      </c>
      <c r="E232" s="4" t="str">
        <f>IFERROR(VLOOKUP($A232&amp;$E215,DATA!$F$1:$G$500,MATCH("FULL IN",DATA!$F$1:$G$1,0),0),$E215)</f>
        <v/>
      </c>
      <c r="F232" s="2" t="str">
        <f t="shared" si="40"/>
        <v/>
      </c>
      <c r="G232" s="2" t="str">
        <f>IFERROR(VLOOKUP(E232,[1]FINAL!$A$2:$M$699,MATCH("Team",[1]FINAL!$A$1:$K$1,0),0),"")</f>
        <v/>
      </c>
      <c r="I232" s="4" t="str">
        <f>IFERROR(VLOOKUP($A232&amp;$E215,DATA!$F$1:$H$500,MATCH("FULL OUT",DATA!$F$1:$H$1,0),0),"")</f>
        <v/>
      </c>
    </row>
    <row r="233" spans="1:9" x14ac:dyDescent="0.25">
      <c r="A233" s="6" t="str">
        <f t="shared" si="39"/>
        <v>GW14</v>
      </c>
      <c r="B233" s="7">
        <v>8</v>
      </c>
      <c r="C233" s="7" t="str">
        <f t="shared" si="38"/>
        <v>GW14-8</v>
      </c>
      <c r="D233" s="1" t="str">
        <f>IFERROR(VLOOKUP(E233,[1]FINAL!$A$2:$J$699,MATCH("Pos",[1]FINAL!$A$1:$J$1,0),0),"")</f>
        <v/>
      </c>
      <c r="E233" s="4" t="str">
        <f>IFERROR(VLOOKUP($A233&amp;$E216,DATA!$F$1:$G$500,MATCH("FULL IN",DATA!$F$1:$G$1,0),0),$E216)</f>
        <v/>
      </c>
      <c r="F233" s="2" t="str">
        <f t="shared" si="40"/>
        <v/>
      </c>
      <c r="G233" s="2" t="str">
        <f>IFERROR(VLOOKUP(E233,[1]FINAL!$A$2:$M$699,MATCH("Team",[1]FINAL!$A$1:$K$1,0),0),"")</f>
        <v/>
      </c>
      <c r="I233" s="4" t="str">
        <f>IFERROR(VLOOKUP($A233&amp;$E216,DATA!$F$1:$H$500,MATCH("FULL OUT",DATA!$F$1:$H$1,0),0),"")</f>
        <v/>
      </c>
    </row>
    <row r="234" spans="1:9" x14ac:dyDescent="0.25">
      <c r="A234" s="6" t="str">
        <f t="shared" si="39"/>
        <v>GW14</v>
      </c>
      <c r="B234" s="7">
        <v>9</v>
      </c>
      <c r="C234" s="7" t="str">
        <f t="shared" si="38"/>
        <v>GW14-9</v>
      </c>
      <c r="D234" s="1" t="str">
        <f>IFERROR(VLOOKUP(E234,[1]FINAL!$A$2:$J$699,MATCH("Pos",[1]FINAL!$A$1:$J$1,0),0),"")</f>
        <v/>
      </c>
      <c r="E234" s="4" t="str">
        <f>IFERROR(VLOOKUP($A234&amp;$E217,DATA!$F$1:$G$500,MATCH("FULL IN",DATA!$F$1:$G$1,0),0),$E217)</f>
        <v/>
      </c>
      <c r="F234" s="2" t="str">
        <f t="shared" si="40"/>
        <v/>
      </c>
      <c r="G234" s="2" t="str">
        <f>IFERROR(VLOOKUP(E234,[1]FINAL!$A$2:$M$699,MATCH("Team",[1]FINAL!$A$1:$K$1,0),0),"")</f>
        <v/>
      </c>
      <c r="I234" s="4" t="str">
        <f>IFERROR(VLOOKUP($A234&amp;$E217,DATA!$F$1:$H$500,MATCH("FULL OUT",DATA!$F$1:$H$1,0),0),"")</f>
        <v/>
      </c>
    </row>
    <row r="235" spans="1:9" x14ac:dyDescent="0.25">
      <c r="A235" s="6" t="str">
        <f t="shared" si="39"/>
        <v>GW14</v>
      </c>
      <c r="B235" s="7">
        <v>10</v>
      </c>
      <c r="C235" s="7" t="str">
        <f t="shared" si="38"/>
        <v>GW14-10</v>
      </c>
      <c r="D235" s="1" t="str">
        <f>IFERROR(VLOOKUP(E235,[1]FINAL!$A$2:$J$699,MATCH("Pos",[1]FINAL!$A$1:$J$1,0),0),"")</f>
        <v/>
      </c>
      <c r="E235" s="4" t="str">
        <f>IFERROR(VLOOKUP($A235&amp;$E218,DATA!$F$1:$G$500,MATCH("FULL IN",DATA!$F$1:$G$1,0),0),$E218)</f>
        <v/>
      </c>
      <c r="F235" s="2" t="str">
        <f t="shared" si="40"/>
        <v/>
      </c>
      <c r="G235" s="2" t="str">
        <f>IFERROR(VLOOKUP(E235,[1]FINAL!$A$2:$M$699,MATCH("Team",[1]FINAL!$A$1:$K$1,0),0),"")</f>
        <v/>
      </c>
      <c r="I235" s="4" t="str">
        <f>IFERROR(VLOOKUP($A235&amp;$E218,DATA!$F$1:$H$500,MATCH("FULL OUT",DATA!$F$1:$H$1,0),0),"")</f>
        <v/>
      </c>
    </row>
    <row r="236" spans="1:9" x14ac:dyDescent="0.25">
      <c r="A236" s="6" t="str">
        <f t="shared" si="39"/>
        <v>GW14</v>
      </c>
      <c r="B236" s="7">
        <v>11</v>
      </c>
      <c r="C236" s="7" t="str">
        <f t="shared" si="38"/>
        <v>GW14-11</v>
      </c>
      <c r="D236" s="1" t="str">
        <f>IFERROR(VLOOKUP(E236,[1]FINAL!$A$2:$J$699,MATCH("Pos",[1]FINAL!$A$1:$J$1,0),0),"")</f>
        <v/>
      </c>
      <c r="E236" s="4" t="str">
        <f>IFERROR(VLOOKUP($A236&amp;$E219,DATA!$F$1:$G$500,MATCH("FULL IN",DATA!$F$1:$G$1,0),0),$E219)</f>
        <v/>
      </c>
      <c r="F236" s="2" t="str">
        <f t="shared" si="40"/>
        <v/>
      </c>
      <c r="G236" s="2" t="str">
        <f>IFERROR(VLOOKUP(E236,[1]FINAL!$A$2:$M$699,MATCH("Team",[1]FINAL!$A$1:$K$1,0),0),"")</f>
        <v/>
      </c>
      <c r="I236" s="4" t="str">
        <f>IFERROR(VLOOKUP($A236&amp;$E219,DATA!$F$1:$H$500,MATCH("FULL OUT",DATA!$F$1:$H$1,0),0),"")</f>
        <v/>
      </c>
    </row>
    <row r="237" spans="1:9" x14ac:dyDescent="0.25">
      <c r="A237" s="6" t="str">
        <f t="shared" si="39"/>
        <v>GW14</v>
      </c>
      <c r="B237" s="7">
        <v>12</v>
      </c>
      <c r="C237" s="7" t="str">
        <f t="shared" si="38"/>
        <v>GW14-12</v>
      </c>
      <c r="D237" s="1" t="str">
        <f>IFERROR(VLOOKUP(E237,[1]FINAL!$A$2:$J$699,MATCH("Pos",[1]FINAL!$A$1:$J$1,0),0),"")</f>
        <v/>
      </c>
      <c r="E237" s="4" t="str">
        <f>IFERROR(VLOOKUP($A237&amp;$E220,DATA!$F$1:$G$500,MATCH("FULL IN",DATA!$F$1:$G$1,0),0),$E220)</f>
        <v/>
      </c>
      <c r="F237" s="2" t="str">
        <f t="shared" si="40"/>
        <v/>
      </c>
      <c r="G237" s="2" t="str">
        <f>IFERROR(VLOOKUP(E237,[1]FINAL!$A$2:$M$699,MATCH("Team",[1]FINAL!$A$1:$K$1,0),0),"")</f>
        <v/>
      </c>
      <c r="I237" s="4" t="str">
        <f>IFERROR(VLOOKUP($A237&amp;$E220,DATA!$F$1:$H$500,MATCH("FULL OUT",DATA!$F$1:$H$1,0),0),"")</f>
        <v/>
      </c>
    </row>
    <row r="238" spans="1:9" x14ac:dyDescent="0.25">
      <c r="A238" s="6" t="str">
        <f t="shared" si="39"/>
        <v>GW14</v>
      </c>
      <c r="B238" s="7">
        <v>13</v>
      </c>
      <c r="C238" s="7" t="str">
        <f t="shared" si="38"/>
        <v>GW14-13</v>
      </c>
      <c r="D238" s="1" t="str">
        <f>IFERROR(VLOOKUP(E238,[1]FINAL!$A$2:$J$699,MATCH("Pos",[1]FINAL!$A$1:$J$1,0),0),"")</f>
        <v/>
      </c>
      <c r="E238" s="4" t="str">
        <f>IFERROR(VLOOKUP($A238&amp;$E221,DATA!$F$1:$G$500,MATCH("FULL IN",DATA!$F$1:$G$1,0),0),$E221)</f>
        <v/>
      </c>
      <c r="F238" s="2" t="str">
        <f t="shared" si="40"/>
        <v/>
      </c>
      <c r="G238" s="2" t="str">
        <f>IFERROR(VLOOKUP(E238,[1]FINAL!$A$2:$M$699,MATCH("Team",[1]FINAL!$A$1:$K$1,0),0),"")</f>
        <v/>
      </c>
      <c r="I238" s="4" t="str">
        <f>IFERROR(VLOOKUP($A238&amp;$E221,DATA!$F$1:$H$500,MATCH("FULL OUT",DATA!$F$1:$H$1,0),0),"")</f>
        <v/>
      </c>
    </row>
    <row r="239" spans="1:9" x14ac:dyDescent="0.25">
      <c r="A239" s="6" t="str">
        <f t="shared" si="39"/>
        <v>GW14</v>
      </c>
      <c r="B239" s="7">
        <v>14</v>
      </c>
      <c r="C239" s="7" t="str">
        <f t="shared" si="38"/>
        <v>GW14-14</v>
      </c>
      <c r="D239" s="1" t="str">
        <f>IFERROR(VLOOKUP(E239,[1]FINAL!$A$2:$J$699,MATCH("Pos",[1]FINAL!$A$1:$J$1,0),0),"")</f>
        <v/>
      </c>
      <c r="E239" s="4" t="str">
        <f>IFERROR(VLOOKUP($A239&amp;$E222,DATA!$F$1:$G$500,MATCH("FULL IN",DATA!$F$1:$G$1,0),0),$E222)</f>
        <v/>
      </c>
      <c r="F239" s="2" t="str">
        <f t="shared" si="40"/>
        <v/>
      </c>
      <c r="G239" s="2" t="str">
        <f>IFERROR(VLOOKUP(E239,[1]FINAL!$A$2:$M$699,MATCH("Team",[1]FINAL!$A$1:$K$1,0),0),"")</f>
        <v/>
      </c>
      <c r="I239" s="4" t="str">
        <f>IFERROR(VLOOKUP($A239&amp;$E222,DATA!$F$1:$H$500,MATCH("FULL OUT",DATA!$F$1:$H$1,0),0),"")</f>
        <v/>
      </c>
    </row>
    <row r="240" spans="1:9" x14ac:dyDescent="0.25">
      <c r="A240" s="6" t="str">
        <f t="shared" si="39"/>
        <v>GW14</v>
      </c>
      <c r="B240" s="7">
        <v>15</v>
      </c>
      <c r="C240" s="7" t="str">
        <f t="shared" si="38"/>
        <v>GW14-15</v>
      </c>
      <c r="D240" s="1" t="str">
        <f>IFERROR(VLOOKUP(E240,[1]FINAL!$A$2:$J$699,MATCH("Pos",[1]FINAL!$A$1:$J$1,0),0),"")</f>
        <v/>
      </c>
      <c r="E240" s="4" t="str">
        <f>IFERROR(VLOOKUP($A240&amp;$E223,DATA!$F$1:$G$500,MATCH("FULL IN",DATA!$F$1:$G$1,0),0),$E223)</f>
        <v/>
      </c>
      <c r="F240" s="2" t="str">
        <f t="shared" si="40"/>
        <v/>
      </c>
      <c r="G240" s="2" t="str">
        <f>IFERROR(VLOOKUP(E240,[1]FINAL!$A$2:$M$699,MATCH("Team",[1]FINAL!$A$1:$K$1,0),0),"")</f>
        <v/>
      </c>
      <c r="I240" s="4" t="str">
        <f>IFERROR(VLOOKUP($A240&amp;$E223,DATA!$F$1:$H$500,MATCH("FULL OUT",DATA!$F$1:$H$1,0),0),"")</f>
        <v/>
      </c>
    </row>
    <row r="243" spans="1:9" x14ac:dyDescent="0.25">
      <c r="A243" s="6" t="s">
        <v>17</v>
      </c>
      <c r="B243" s="7">
        <v>1</v>
      </c>
      <c r="C243" s="7" t="str">
        <f>A243&amp;-B243</f>
        <v>GW15-1</v>
      </c>
      <c r="D243" s="1" t="str">
        <f>IFERROR(VLOOKUP(E243,[1]FINAL!$A$2:$J$699,MATCH("Pos",[1]FINAL!$A$1:$J$1,0),0),"")</f>
        <v/>
      </c>
      <c r="E243" s="4" t="str">
        <f>IFERROR(VLOOKUP($A243&amp;$E226,DATA!$F$1:$G$500,MATCH("FULL IN",DATA!$F$1:$G$1,0),0),$E226)</f>
        <v>Player Name</v>
      </c>
      <c r="G243" s="2" t="str">
        <f>IFERROR(VLOOKUP(E243,[1]FINAL!$A$2:$M$699,MATCH("Team",[1]FINAL!$A$1:$K$1,0),0),"")</f>
        <v/>
      </c>
      <c r="I243" s="4" t="str">
        <f>IFERROR(VLOOKUP($A243&amp;$E226,DATA!$F$1:$H$500,MATCH("FULL OUT",DATA!$F$1:$H$1,0),0),"")</f>
        <v/>
      </c>
    </row>
    <row r="244" spans="1:9" x14ac:dyDescent="0.25">
      <c r="A244" s="6" t="str">
        <f>A243</f>
        <v>GW15</v>
      </c>
      <c r="B244" s="7">
        <v>2</v>
      </c>
      <c r="C244" s="7" t="str">
        <f t="shared" ref="C244:C257" si="41">A244&amp;-B244</f>
        <v>GW15-2</v>
      </c>
      <c r="D244" s="1" t="str">
        <f>IFERROR(VLOOKUP(E244,[1]FINAL!$A$2:$J$699,MATCH("Pos",[1]FINAL!$A$1:$J$1,0),0),"")</f>
        <v/>
      </c>
      <c r="E244" s="4" t="str">
        <f>IFERROR(VLOOKUP($A244&amp;$E227,DATA!$F$1:$G$500,MATCH("FULL IN",DATA!$F$1:$G$1,0),0),$E227)</f>
        <v/>
      </c>
      <c r="F244" s="2" t="str">
        <f>IF(Z244="","","IN")</f>
        <v/>
      </c>
      <c r="G244" s="2" t="str">
        <f>IFERROR(VLOOKUP(E244,[1]FINAL!$A$2:$M$699,MATCH("Team",[1]FINAL!$A$1:$K$1,0),0),"")</f>
        <v/>
      </c>
      <c r="I244" s="4" t="str">
        <f>IFERROR(VLOOKUP($A244&amp;$E227,DATA!$F$1:$H$500,MATCH("FULL OUT",DATA!$F$1:$H$1,0),0),"")</f>
        <v/>
      </c>
    </row>
    <row r="245" spans="1:9" x14ac:dyDescent="0.25">
      <c r="A245" s="6" t="str">
        <f t="shared" ref="A245:A257" si="42">A244</f>
        <v>GW15</v>
      </c>
      <c r="B245" s="7">
        <v>3</v>
      </c>
      <c r="C245" s="7" t="str">
        <f t="shared" si="41"/>
        <v>GW15-3</v>
      </c>
      <c r="D245" s="1" t="str">
        <f>IFERROR(VLOOKUP(E245,[1]FINAL!$A$2:$J$699,MATCH("Pos",[1]FINAL!$A$1:$J$1,0),0),"")</f>
        <v/>
      </c>
      <c r="E245" s="4" t="str">
        <f>IFERROR(VLOOKUP($A245&amp;$E228,DATA!$F$1:$G$500,MATCH("FULL IN",DATA!$F$1:$G$1,0),0),$E228)</f>
        <v/>
      </c>
      <c r="F245" s="2" t="str">
        <f t="shared" ref="F245:F257" si="43">IF(Z245="","","IN")</f>
        <v/>
      </c>
      <c r="G245" s="2" t="str">
        <f>IFERROR(VLOOKUP(E245,[1]FINAL!$A$2:$M$699,MATCH("Team",[1]FINAL!$A$1:$K$1,0),0),"")</f>
        <v/>
      </c>
      <c r="I245" s="4" t="str">
        <f>IFERROR(VLOOKUP($A245&amp;$E228,DATA!$F$1:$H$500,MATCH("FULL OUT",DATA!$F$1:$H$1,0),0),"")</f>
        <v/>
      </c>
    </row>
    <row r="246" spans="1:9" x14ac:dyDescent="0.25">
      <c r="A246" s="6" t="str">
        <f t="shared" si="42"/>
        <v>GW15</v>
      </c>
      <c r="B246" s="7">
        <v>4</v>
      </c>
      <c r="C246" s="7" t="str">
        <f t="shared" si="41"/>
        <v>GW15-4</v>
      </c>
      <c r="D246" s="1" t="str">
        <f>IFERROR(VLOOKUP(E246,[1]FINAL!$A$2:$J$699,MATCH("Pos",[1]FINAL!$A$1:$J$1,0),0),"")</f>
        <v/>
      </c>
      <c r="E246" s="4" t="str">
        <f>IFERROR(VLOOKUP($A246&amp;$E229,DATA!$F$1:$G$500,MATCH("FULL IN",DATA!$F$1:$G$1,0),0),$E229)</f>
        <v/>
      </c>
      <c r="F246" s="2" t="str">
        <f t="shared" si="43"/>
        <v/>
      </c>
      <c r="G246" s="2" t="str">
        <f>IFERROR(VLOOKUP(E246,[1]FINAL!$A$2:$M$699,MATCH("Team",[1]FINAL!$A$1:$K$1,0),0),"")</f>
        <v/>
      </c>
      <c r="I246" s="4" t="str">
        <f>IFERROR(VLOOKUP($A246&amp;$E229,DATA!$F$1:$H$500,MATCH("FULL OUT",DATA!$F$1:$H$1,0),0),"")</f>
        <v/>
      </c>
    </row>
    <row r="247" spans="1:9" x14ac:dyDescent="0.25">
      <c r="A247" s="6" t="str">
        <f t="shared" si="42"/>
        <v>GW15</v>
      </c>
      <c r="B247" s="7">
        <v>5</v>
      </c>
      <c r="C247" s="7" t="str">
        <f t="shared" si="41"/>
        <v>GW15-5</v>
      </c>
      <c r="D247" s="1" t="str">
        <f>IFERROR(VLOOKUP(E247,[1]FINAL!$A$2:$J$699,MATCH("Pos",[1]FINAL!$A$1:$J$1,0),0),"")</f>
        <v/>
      </c>
      <c r="E247" s="4" t="str">
        <f>IFERROR(VLOOKUP($A247&amp;$E230,DATA!$F$1:$G$500,MATCH("FULL IN",DATA!$F$1:$G$1,0),0),$E230)</f>
        <v/>
      </c>
      <c r="F247" s="2" t="str">
        <f t="shared" si="43"/>
        <v/>
      </c>
      <c r="G247" s="2" t="str">
        <f>IFERROR(VLOOKUP(E247,[1]FINAL!$A$2:$M$699,MATCH("Team",[1]FINAL!$A$1:$K$1,0),0),"")</f>
        <v/>
      </c>
      <c r="I247" s="4" t="str">
        <f>IFERROR(VLOOKUP($A247&amp;$E230,DATA!$F$1:$H$500,MATCH("FULL OUT",DATA!$F$1:$H$1,0),0),"")</f>
        <v/>
      </c>
    </row>
    <row r="248" spans="1:9" x14ac:dyDescent="0.25">
      <c r="A248" s="6" t="str">
        <f t="shared" si="42"/>
        <v>GW15</v>
      </c>
      <c r="B248" s="7">
        <v>6</v>
      </c>
      <c r="C248" s="7" t="str">
        <f t="shared" si="41"/>
        <v>GW15-6</v>
      </c>
      <c r="D248" s="1" t="str">
        <f>IFERROR(VLOOKUP(E248,[1]FINAL!$A$2:$J$699,MATCH("Pos",[1]FINAL!$A$1:$J$1,0),0),"")</f>
        <v/>
      </c>
      <c r="E248" s="4" t="str">
        <f>IFERROR(VLOOKUP($A248&amp;$E231,DATA!$F$1:$G$500,MATCH("FULL IN",DATA!$F$1:$G$1,0),0),$E231)</f>
        <v/>
      </c>
      <c r="F248" s="2" t="str">
        <f t="shared" si="43"/>
        <v/>
      </c>
      <c r="G248" s="2" t="str">
        <f>IFERROR(VLOOKUP(E248,[1]FINAL!$A$2:$M$699,MATCH("Team",[1]FINAL!$A$1:$K$1,0),0),"")</f>
        <v/>
      </c>
      <c r="I248" s="4" t="str">
        <f>IFERROR(VLOOKUP($A248&amp;$E231,DATA!$F$1:$H$500,MATCH("FULL OUT",DATA!$F$1:$H$1,0),0),"")</f>
        <v/>
      </c>
    </row>
    <row r="249" spans="1:9" x14ac:dyDescent="0.25">
      <c r="A249" s="6" t="str">
        <f t="shared" si="42"/>
        <v>GW15</v>
      </c>
      <c r="B249" s="7">
        <v>7</v>
      </c>
      <c r="C249" s="7" t="str">
        <f t="shared" si="41"/>
        <v>GW15-7</v>
      </c>
      <c r="D249" s="1" t="str">
        <f>IFERROR(VLOOKUP(E249,[1]FINAL!$A$2:$J$699,MATCH("Pos",[1]FINAL!$A$1:$J$1,0),0),"")</f>
        <v/>
      </c>
      <c r="E249" s="4" t="str">
        <f>IFERROR(VLOOKUP($A249&amp;$E232,DATA!$F$1:$G$500,MATCH("FULL IN",DATA!$F$1:$G$1,0),0),$E232)</f>
        <v/>
      </c>
      <c r="F249" s="2" t="str">
        <f t="shared" si="43"/>
        <v/>
      </c>
      <c r="G249" s="2" t="str">
        <f>IFERROR(VLOOKUP(E249,[1]FINAL!$A$2:$M$699,MATCH("Team",[1]FINAL!$A$1:$K$1,0),0),"")</f>
        <v/>
      </c>
      <c r="I249" s="4" t="str">
        <f>IFERROR(VLOOKUP($A249&amp;$E232,DATA!$F$1:$H$500,MATCH("FULL OUT",DATA!$F$1:$H$1,0),0),"")</f>
        <v/>
      </c>
    </row>
    <row r="250" spans="1:9" x14ac:dyDescent="0.25">
      <c r="A250" s="6" t="str">
        <f t="shared" si="42"/>
        <v>GW15</v>
      </c>
      <c r="B250" s="7">
        <v>8</v>
      </c>
      <c r="C250" s="7" t="str">
        <f t="shared" si="41"/>
        <v>GW15-8</v>
      </c>
      <c r="D250" s="1" t="str">
        <f>IFERROR(VLOOKUP(E250,[1]FINAL!$A$2:$J$699,MATCH("Pos",[1]FINAL!$A$1:$J$1,0),0),"")</f>
        <v/>
      </c>
      <c r="E250" s="4" t="str">
        <f>IFERROR(VLOOKUP($A250&amp;$E233,DATA!$F$1:$G$500,MATCH("FULL IN",DATA!$F$1:$G$1,0),0),$E233)</f>
        <v/>
      </c>
      <c r="F250" s="2" t="str">
        <f t="shared" si="43"/>
        <v/>
      </c>
      <c r="G250" s="2" t="str">
        <f>IFERROR(VLOOKUP(E250,[1]FINAL!$A$2:$M$699,MATCH("Team",[1]FINAL!$A$1:$K$1,0),0),"")</f>
        <v/>
      </c>
      <c r="I250" s="4" t="str">
        <f>IFERROR(VLOOKUP($A250&amp;$E233,DATA!$F$1:$H$500,MATCH("FULL OUT",DATA!$F$1:$H$1,0),0),"")</f>
        <v/>
      </c>
    </row>
    <row r="251" spans="1:9" x14ac:dyDescent="0.25">
      <c r="A251" s="6" t="str">
        <f t="shared" si="42"/>
        <v>GW15</v>
      </c>
      <c r="B251" s="7">
        <v>9</v>
      </c>
      <c r="C251" s="7" t="str">
        <f t="shared" si="41"/>
        <v>GW15-9</v>
      </c>
      <c r="D251" s="1" t="str">
        <f>IFERROR(VLOOKUP(E251,[1]FINAL!$A$2:$J$699,MATCH("Pos",[1]FINAL!$A$1:$J$1,0),0),"")</f>
        <v/>
      </c>
      <c r="E251" s="4" t="str">
        <f>IFERROR(VLOOKUP($A251&amp;$E234,DATA!$F$1:$G$500,MATCH("FULL IN",DATA!$F$1:$G$1,0),0),$E234)</f>
        <v/>
      </c>
      <c r="F251" s="2" t="str">
        <f t="shared" si="43"/>
        <v/>
      </c>
      <c r="G251" s="2" t="str">
        <f>IFERROR(VLOOKUP(E251,[1]FINAL!$A$2:$M$699,MATCH("Team",[1]FINAL!$A$1:$K$1,0),0),"")</f>
        <v/>
      </c>
      <c r="I251" s="4" t="str">
        <f>IFERROR(VLOOKUP($A251&amp;$E234,DATA!$F$1:$H$500,MATCH("FULL OUT",DATA!$F$1:$H$1,0),0),"")</f>
        <v/>
      </c>
    </row>
    <row r="252" spans="1:9" x14ac:dyDescent="0.25">
      <c r="A252" s="6" t="str">
        <f t="shared" si="42"/>
        <v>GW15</v>
      </c>
      <c r="B252" s="7">
        <v>10</v>
      </c>
      <c r="C252" s="7" t="str">
        <f t="shared" si="41"/>
        <v>GW15-10</v>
      </c>
      <c r="D252" s="1" t="str">
        <f>IFERROR(VLOOKUP(E252,[1]FINAL!$A$2:$J$699,MATCH("Pos",[1]FINAL!$A$1:$J$1,0),0),"")</f>
        <v/>
      </c>
      <c r="E252" s="4" t="str">
        <f>IFERROR(VLOOKUP($A252&amp;$E235,DATA!$F$1:$G$500,MATCH("FULL IN",DATA!$F$1:$G$1,0),0),$E235)</f>
        <v/>
      </c>
      <c r="F252" s="2" t="str">
        <f t="shared" si="43"/>
        <v/>
      </c>
      <c r="G252" s="2" t="str">
        <f>IFERROR(VLOOKUP(E252,[1]FINAL!$A$2:$M$699,MATCH("Team",[1]FINAL!$A$1:$K$1,0),0),"")</f>
        <v/>
      </c>
      <c r="I252" s="4" t="str">
        <f>IFERROR(VLOOKUP($A252&amp;$E235,DATA!$F$1:$H$500,MATCH("FULL OUT",DATA!$F$1:$H$1,0),0),"")</f>
        <v/>
      </c>
    </row>
    <row r="253" spans="1:9" x14ac:dyDescent="0.25">
      <c r="A253" s="6" t="str">
        <f t="shared" si="42"/>
        <v>GW15</v>
      </c>
      <c r="B253" s="7">
        <v>11</v>
      </c>
      <c r="C253" s="7" t="str">
        <f t="shared" si="41"/>
        <v>GW15-11</v>
      </c>
      <c r="D253" s="1" t="str">
        <f>IFERROR(VLOOKUP(E253,[1]FINAL!$A$2:$J$699,MATCH("Pos",[1]FINAL!$A$1:$J$1,0),0),"")</f>
        <v/>
      </c>
      <c r="E253" s="4" t="str">
        <f>IFERROR(VLOOKUP($A253&amp;$E236,DATA!$F$1:$G$500,MATCH("FULL IN",DATA!$F$1:$G$1,0),0),$E236)</f>
        <v/>
      </c>
      <c r="F253" s="2" t="str">
        <f t="shared" si="43"/>
        <v/>
      </c>
      <c r="G253" s="2" t="str">
        <f>IFERROR(VLOOKUP(E253,[1]FINAL!$A$2:$M$699,MATCH("Team",[1]FINAL!$A$1:$K$1,0),0),"")</f>
        <v/>
      </c>
      <c r="I253" s="4" t="str">
        <f>IFERROR(VLOOKUP($A253&amp;$E236,DATA!$F$1:$H$500,MATCH("FULL OUT",DATA!$F$1:$H$1,0),0),"")</f>
        <v/>
      </c>
    </row>
    <row r="254" spans="1:9" x14ac:dyDescent="0.25">
      <c r="A254" s="6" t="str">
        <f t="shared" si="42"/>
        <v>GW15</v>
      </c>
      <c r="B254" s="7">
        <v>12</v>
      </c>
      <c r="C254" s="7" t="str">
        <f t="shared" si="41"/>
        <v>GW15-12</v>
      </c>
      <c r="D254" s="1" t="str">
        <f>IFERROR(VLOOKUP(E254,[1]FINAL!$A$2:$J$699,MATCH("Pos",[1]FINAL!$A$1:$J$1,0),0),"")</f>
        <v/>
      </c>
      <c r="E254" s="4" t="str">
        <f>IFERROR(VLOOKUP($A254&amp;$E237,DATA!$F$1:$G$500,MATCH("FULL IN",DATA!$F$1:$G$1,0),0),$E237)</f>
        <v/>
      </c>
      <c r="F254" s="2" t="str">
        <f t="shared" si="43"/>
        <v/>
      </c>
      <c r="G254" s="2" t="str">
        <f>IFERROR(VLOOKUP(E254,[1]FINAL!$A$2:$M$699,MATCH("Team",[1]FINAL!$A$1:$K$1,0),0),"")</f>
        <v/>
      </c>
      <c r="I254" s="4" t="str">
        <f>IFERROR(VLOOKUP($A254&amp;$E237,DATA!$F$1:$H$500,MATCH("FULL OUT",DATA!$F$1:$H$1,0),0),"")</f>
        <v/>
      </c>
    </row>
    <row r="255" spans="1:9" x14ac:dyDescent="0.25">
      <c r="A255" s="6" t="str">
        <f t="shared" si="42"/>
        <v>GW15</v>
      </c>
      <c r="B255" s="7">
        <v>13</v>
      </c>
      <c r="C255" s="7" t="str">
        <f t="shared" si="41"/>
        <v>GW15-13</v>
      </c>
      <c r="D255" s="1" t="str">
        <f>IFERROR(VLOOKUP(E255,[1]FINAL!$A$2:$J$699,MATCH("Pos",[1]FINAL!$A$1:$J$1,0),0),"")</f>
        <v/>
      </c>
      <c r="E255" s="4" t="str">
        <f>IFERROR(VLOOKUP($A255&amp;$E238,DATA!$F$1:$G$500,MATCH("FULL IN",DATA!$F$1:$G$1,0),0),$E238)</f>
        <v/>
      </c>
      <c r="F255" s="2" t="str">
        <f t="shared" si="43"/>
        <v/>
      </c>
      <c r="G255" s="2" t="str">
        <f>IFERROR(VLOOKUP(E255,[1]FINAL!$A$2:$M$699,MATCH("Team",[1]FINAL!$A$1:$K$1,0),0),"")</f>
        <v/>
      </c>
      <c r="I255" s="4" t="str">
        <f>IFERROR(VLOOKUP($A255&amp;$E238,DATA!$F$1:$H$500,MATCH("FULL OUT",DATA!$F$1:$H$1,0),0),"")</f>
        <v/>
      </c>
    </row>
    <row r="256" spans="1:9" x14ac:dyDescent="0.25">
      <c r="A256" s="6" t="str">
        <f t="shared" si="42"/>
        <v>GW15</v>
      </c>
      <c r="B256" s="7">
        <v>14</v>
      </c>
      <c r="C256" s="7" t="str">
        <f t="shared" si="41"/>
        <v>GW15-14</v>
      </c>
      <c r="D256" s="1" t="str">
        <f>IFERROR(VLOOKUP(E256,[1]FINAL!$A$2:$J$699,MATCH("Pos",[1]FINAL!$A$1:$J$1,0),0),"")</f>
        <v/>
      </c>
      <c r="E256" s="4" t="str">
        <f>IFERROR(VLOOKUP($A256&amp;$E239,DATA!$F$1:$G$500,MATCH("FULL IN",DATA!$F$1:$G$1,0),0),$E239)</f>
        <v/>
      </c>
      <c r="F256" s="2" t="str">
        <f t="shared" si="43"/>
        <v/>
      </c>
      <c r="G256" s="2" t="str">
        <f>IFERROR(VLOOKUP(E256,[1]FINAL!$A$2:$M$699,MATCH("Team",[1]FINAL!$A$1:$K$1,0),0),"")</f>
        <v/>
      </c>
      <c r="I256" s="4" t="str">
        <f>IFERROR(VLOOKUP($A256&amp;$E239,DATA!$F$1:$H$500,MATCH("FULL OUT",DATA!$F$1:$H$1,0),0),"")</f>
        <v/>
      </c>
    </row>
    <row r="257" spans="1:9" x14ac:dyDescent="0.25">
      <c r="A257" s="6" t="str">
        <f t="shared" si="42"/>
        <v>GW15</v>
      </c>
      <c r="B257" s="7">
        <v>15</v>
      </c>
      <c r="C257" s="7" t="str">
        <f t="shared" si="41"/>
        <v>GW15-15</v>
      </c>
      <c r="D257" s="1" t="str">
        <f>IFERROR(VLOOKUP(E257,[1]FINAL!$A$2:$J$699,MATCH("Pos",[1]FINAL!$A$1:$J$1,0),0),"")</f>
        <v/>
      </c>
      <c r="E257" s="4" t="str">
        <f>IFERROR(VLOOKUP($A257&amp;$E240,DATA!$F$1:$G$500,MATCH("FULL IN",DATA!$F$1:$G$1,0),0),$E240)</f>
        <v/>
      </c>
      <c r="F257" s="2" t="str">
        <f t="shared" si="43"/>
        <v/>
      </c>
      <c r="G257" s="2" t="str">
        <f>IFERROR(VLOOKUP(E257,[1]FINAL!$A$2:$M$699,MATCH("Team",[1]FINAL!$A$1:$K$1,0),0),"")</f>
        <v/>
      </c>
      <c r="I257" s="4" t="str">
        <f>IFERROR(VLOOKUP($A257&amp;$E240,DATA!$F$1:$H$500,MATCH("FULL OUT",DATA!$F$1:$H$1,0),0),"")</f>
        <v/>
      </c>
    </row>
    <row r="260" spans="1:9" x14ac:dyDescent="0.25">
      <c r="A260" s="6" t="s">
        <v>18</v>
      </c>
      <c r="B260" s="7">
        <v>1</v>
      </c>
      <c r="C260" s="7" t="str">
        <f>A260&amp;-B260</f>
        <v>GW16-1</v>
      </c>
      <c r="D260" s="1" t="str">
        <f>IFERROR(VLOOKUP(E260,[1]FINAL!$A$2:$J$699,MATCH("Pos",[1]FINAL!$A$1:$J$1,0),0),"")</f>
        <v/>
      </c>
      <c r="E260" s="4" t="str">
        <f>IFERROR(VLOOKUP($A260&amp;$E243,DATA!$F$1:$G$500,MATCH("FULL IN",DATA!$F$1:$G$1,0),0),$E243)</f>
        <v>Player Name</v>
      </c>
      <c r="G260" s="2" t="str">
        <f>IFERROR(VLOOKUP(E260,[1]FINAL!$A$2:$M$699,MATCH("Team",[1]FINAL!$A$1:$K$1,0),0),"")</f>
        <v/>
      </c>
      <c r="I260" s="4" t="str">
        <f>IFERROR(VLOOKUP($A260&amp;$E243,DATA!$F$1:$H$500,MATCH("FULL OUT",DATA!$F$1:$H$1,0),0),"")</f>
        <v/>
      </c>
    </row>
    <row r="261" spans="1:9" x14ac:dyDescent="0.25">
      <c r="A261" s="6" t="str">
        <f>A260</f>
        <v>GW16</v>
      </c>
      <c r="B261" s="7">
        <v>2</v>
      </c>
      <c r="C261" s="7" t="str">
        <f t="shared" ref="C261:C274" si="44">A261&amp;-B261</f>
        <v>GW16-2</v>
      </c>
      <c r="D261" s="1" t="str">
        <f>IFERROR(VLOOKUP(E261,[1]FINAL!$A$2:$J$699,MATCH("Pos",[1]FINAL!$A$1:$J$1,0),0),"")</f>
        <v/>
      </c>
      <c r="E261" s="4" t="str">
        <f>IFERROR(VLOOKUP($A261&amp;$E244,DATA!$F$1:$G$500,MATCH("FULL IN",DATA!$F$1:$G$1,0),0),$E244)</f>
        <v/>
      </c>
      <c r="F261" s="2" t="str">
        <f>IF(Z261="","","IN")</f>
        <v/>
      </c>
      <c r="G261" s="2" t="str">
        <f>IFERROR(VLOOKUP(E261,[1]FINAL!$A$2:$M$699,MATCH("Team",[1]FINAL!$A$1:$K$1,0),0),"")</f>
        <v/>
      </c>
      <c r="I261" s="4" t="str">
        <f>IFERROR(VLOOKUP($A261&amp;$E244,DATA!$F$1:$H$500,MATCH("FULL OUT",DATA!$F$1:$H$1,0),0),"")</f>
        <v/>
      </c>
    </row>
    <row r="262" spans="1:9" x14ac:dyDescent="0.25">
      <c r="A262" s="6" t="str">
        <f t="shared" ref="A262:A274" si="45">A261</f>
        <v>GW16</v>
      </c>
      <c r="B262" s="7">
        <v>3</v>
      </c>
      <c r="C262" s="7" t="str">
        <f t="shared" si="44"/>
        <v>GW16-3</v>
      </c>
      <c r="D262" s="1" t="str">
        <f>IFERROR(VLOOKUP(E262,[1]FINAL!$A$2:$J$699,MATCH("Pos",[1]FINAL!$A$1:$J$1,0),0),"")</f>
        <v/>
      </c>
      <c r="E262" s="4" t="str">
        <f>IFERROR(VLOOKUP($A262&amp;$E245,DATA!$F$1:$G$500,MATCH("FULL IN",DATA!$F$1:$G$1,0),0),$E245)</f>
        <v/>
      </c>
      <c r="F262" s="2" t="str">
        <f t="shared" ref="F262:F274" si="46">IF(Z262="","","IN")</f>
        <v/>
      </c>
      <c r="G262" s="2" t="str">
        <f>IFERROR(VLOOKUP(E262,[1]FINAL!$A$2:$M$699,MATCH("Team",[1]FINAL!$A$1:$K$1,0),0),"")</f>
        <v/>
      </c>
      <c r="I262" s="4" t="str">
        <f>IFERROR(VLOOKUP($A262&amp;$E245,DATA!$F$1:$H$500,MATCH("FULL OUT",DATA!$F$1:$H$1,0),0),"")</f>
        <v/>
      </c>
    </row>
    <row r="263" spans="1:9" x14ac:dyDescent="0.25">
      <c r="A263" s="6" t="str">
        <f t="shared" si="45"/>
        <v>GW16</v>
      </c>
      <c r="B263" s="7">
        <v>4</v>
      </c>
      <c r="C263" s="7" t="str">
        <f t="shared" si="44"/>
        <v>GW16-4</v>
      </c>
      <c r="D263" s="1" t="str">
        <f>IFERROR(VLOOKUP(E263,[1]FINAL!$A$2:$J$699,MATCH("Pos",[1]FINAL!$A$1:$J$1,0),0),"")</f>
        <v/>
      </c>
      <c r="E263" s="4" t="str">
        <f>IFERROR(VLOOKUP($A263&amp;$E246,DATA!$F$1:$G$500,MATCH("FULL IN",DATA!$F$1:$G$1,0),0),$E246)</f>
        <v/>
      </c>
      <c r="F263" s="2" t="str">
        <f t="shared" si="46"/>
        <v/>
      </c>
      <c r="G263" s="2" t="str">
        <f>IFERROR(VLOOKUP(E263,[1]FINAL!$A$2:$M$699,MATCH("Team",[1]FINAL!$A$1:$K$1,0),0),"")</f>
        <v/>
      </c>
      <c r="I263" s="4" t="str">
        <f>IFERROR(VLOOKUP($A263&amp;$E246,DATA!$F$1:$H$500,MATCH("FULL OUT",DATA!$F$1:$H$1,0),0),"")</f>
        <v/>
      </c>
    </row>
    <row r="264" spans="1:9" x14ac:dyDescent="0.25">
      <c r="A264" s="6" t="str">
        <f t="shared" si="45"/>
        <v>GW16</v>
      </c>
      <c r="B264" s="7">
        <v>5</v>
      </c>
      <c r="C264" s="7" t="str">
        <f t="shared" si="44"/>
        <v>GW16-5</v>
      </c>
      <c r="D264" s="1" t="str">
        <f>IFERROR(VLOOKUP(E264,[1]FINAL!$A$2:$J$699,MATCH("Pos",[1]FINAL!$A$1:$J$1,0),0),"")</f>
        <v/>
      </c>
      <c r="E264" s="4" t="str">
        <f>IFERROR(VLOOKUP($A264&amp;$E247,DATA!$F$1:$G$500,MATCH("FULL IN",DATA!$F$1:$G$1,0),0),$E247)</f>
        <v/>
      </c>
      <c r="F264" s="2" t="str">
        <f t="shared" si="46"/>
        <v/>
      </c>
      <c r="G264" s="2" t="str">
        <f>IFERROR(VLOOKUP(E264,[1]FINAL!$A$2:$M$699,MATCH("Team",[1]FINAL!$A$1:$K$1,0),0),"")</f>
        <v/>
      </c>
      <c r="I264" s="4" t="str">
        <f>IFERROR(VLOOKUP($A264&amp;$E247,DATA!$F$1:$H$500,MATCH("FULL OUT",DATA!$F$1:$H$1,0),0),"")</f>
        <v/>
      </c>
    </row>
    <row r="265" spans="1:9" x14ac:dyDescent="0.25">
      <c r="A265" s="6" t="str">
        <f t="shared" si="45"/>
        <v>GW16</v>
      </c>
      <c r="B265" s="7">
        <v>6</v>
      </c>
      <c r="C265" s="7" t="str">
        <f t="shared" si="44"/>
        <v>GW16-6</v>
      </c>
      <c r="D265" s="1" t="str">
        <f>IFERROR(VLOOKUP(E265,[1]FINAL!$A$2:$J$699,MATCH("Pos",[1]FINAL!$A$1:$J$1,0),0),"")</f>
        <v/>
      </c>
      <c r="E265" s="4" t="str">
        <f>IFERROR(VLOOKUP($A265&amp;$E248,DATA!$F$1:$G$500,MATCH("FULL IN",DATA!$F$1:$G$1,0),0),$E248)</f>
        <v/>
      </c>
      <c r="F265" s="2" t="str">
        <f t="shared" si="46"/>
        <v/>
      </c>
      <c r="G265" s="2" t="str">
        <f>IFERROR(VLOOKUP(E265,[1]FINAL!$A$2:$M$699,MATCH("Team",[1]FINAL!$A$1:$K$1,0),0),"")</f>
        <v/>
      </c>
      <c r="I265" s="4" t="str">
        <f>IFERROR(VLOOKUP($A265&amp;$E248,DATA!$F$1:$H$500,MATCH("FULL OUT",DATA!$F$1:$H$1,0),0),"")</f>
        <v/>
      </c>
    </row>
    <row r="266" spans="1:9" x14ac:dyDescent="0.25">
      <c r="A266" s="6" t="str">
        <f t="shared" si="45"/>
        <v>GW16</v>
      </c>
      <c r="B266" s="7">
        <v>7</v>
      </c>
      <c r="C266" s="7" t="str">
        <f t="shared" si="44"/>
        <v>GW16-7</v>
      </c>
      <c r="D266" s="1" t="str">
        <f>IFERROR(VLOOKUP(E266,[1]FINAL!$A$2:$J$699,MATCH("Pos",[1]FINAL!$A$1:$J$1,0),0),"")</f>
        <v/>
      </c>
      <c r="E266" s="4" t="str">
        <f>IFERROR(VLOOKUP($A266&amp;$E249,DATA!$F$1:$G$500,MATCH("FULL IN",DATA!$F$1:$G$1,0),0),$E249)</f>
        <v/>
      </c>
      <c r="F266" s="2" t="str">
        <f t="shared" si="46"/>
        <v/>
      </c>
      <c r="G266" s="2" t="str">
        <f>IFERROR(VLOOKUP(E266,[1]FINAL!$A$2:$M$699,MATCH("Team",[1]FINAL!$A$1:$K$1,0),0),"")</f>
        <v/>
      </c>
      <c r="I266" s="4" t="str">
        <f>IFERROR(VLOOKUP($A266&amp;$E249,DATA!$F$1:$H$500,MATCH("FULL OUT",DATA!$F$1:$H$1,0),0),"")</f>
        <v/>
      </c>
    </row>
    <row r="267" spans="1:9" x14ac:dyDescent="0.25">
      <c r="A267" s="6" t="str">
        <f t="shared" si="45"/>
        <v>GW16</v>
      </c>
      <c r="B267" s="7">
        <v>8</v>
      </c>
      <c r="C267" s="7" t="str">
        <f t="shared" si="44"/>
        <v>GW16-8</v>
      </c>
      <c r="D267" s="1" t="str">
        <f>IFERROR(VLOOKUP(E267,[1]FINAL!$A$2:$J$699,MATCH("Pos",[1]FINAL!$A$1:$J$1,0),0),"")</f>
        <v/>
      </c>
      <c r="E267" s="4" t="str">
        <f>IFERROR(VLOOKUP($A267&amp;$E250,DATA!$F$1:$G$500,MATCH("FULL IN",DATA!$F$1:$G$1,0),0),$E250)</f>
        <v/>
      </c>
      <c r="F267" s="2" t="str">
        <f t="shared" si="46"/>
        <v/>
      </c>
      <c r="G267" s="2" t="str">
        <f>IFERROR(VLOOKUP(E267,[1]FINAL!$A$2:$M$699,MATCH("Team",[1]FINAL!$A$1:$K$1,0),0),"")</f>
        <v/>
      </c>
      <c r="I267" s="4" t="str">
        <f>IFERROR(VLOOKUP($A267&amp;$E250,DATA!$F$1:$H$500,MATCH("FULL OUT",DATA!$F$1:$H$1,0),0),"")</f>
        <v/>
      </c>
    </row>
    <row r="268" spans="1:9" x14ac:dyDescent="0.25">
      <c r="A268" s="6" t="str">
        <f t="shared" si="45"/>
        <v>GW16</v>
      </c>
      <c r="B268" s="7">
        <v>9</v>
      </c>
      <c r="C268" s="7" t="str">
        <f t="shared" si="44"/>
        <v>GW16-9</v>
      </c>
      <c r="D268" s="1" t="str">
        <f>IFERROR(VLOOKUP(E268,[1]FINAL!$A$2:$J$699,MATCH("Pos",[1]FINAL!$A$1:$J$1,0),0),"")</f>
        <v/>
      </c>
      <c r="E268" s="4" t="str">
        <f>IFERROR(VLOOKUP($A268&amp;$E251,DATA!$F$1:$G$500,MATCH("FULL IN",DATA!$F$1:$G$1,0),0),$E251)</f>
        <v/>
      </c>
      <c r="F268" s="2" t="str">
        <f t="shared" si="46"/>
        <v/>
      </c>
      <c r="G268" s="2" t="str">
        <f>IFERROR(VLOOKUP(E268,[1]FINAL!$A$2:$M$699,MATCH("Team",[1]FINAL!$A$1:$K$1,0),0),"")</f>
        <v/>
      </c>
      <c r="I268" s="4" t="str">
        <f>IFERROR(VLOOKUP($A268&amp;$E251,DATA!$F$1:$H$500,MATCH("FULL OUT",DATA!$F$1:$H$1,0),0),"")</f>
        <v/>
      </c>
    </row>
    <row r="269" spans="1:9" x14ac:dyDescent="0.25">
      <c r="A269" s="6" t="str">
        <f t="shared" si="45"/>
        <v>GW16</v>
      </c>
      <c r="B269" s="7">
        <v>10</v>
      </c>
      <c r="C269" s="7" t="str">
        <f t="shared" si="44"/>
        <v>GW16-10</v>
      </c>
      <c r="D269" s="1" t="str">
        <f>IFERROR(VLOOKUP(E269,[1]FINAL!$A$2:$J$699,MATCH("Pos",[1]FINAL!$A$1:$J$1,0),0),"")</f>
        <v/>
      </c>
      <c r="E269" s="4" t="str">
        <f>IFERROR(VLOOKUP($A269&amp;$E252,DATA!$F$1:$G$500,MATCH("FULL IN",DATA!$F$1:$G$1,0),0),$E252)</f>
        <v/>
      </c>
      <c r="F269" s="2" t="str">
        <f t="shared" si="46"/>
        <v/>
      </c>
      <c r="G269" s="2" t="str">
        <f>IFERROR(VLOOKUP(E269,[1]FINAL!$A$2:$M$699,MATCH("Team",[1]FINAL!$A$1:$K$1,0),0),"")</f>
        <v/>
      </c>
      <c r="I269" s="4" t="str">
        <f>IFERROR(VLOOKUP($A269&amp;$E252,DATA!$F$1:$H$500,MATCH("FULL OUT",DATA!$F$1:$H$1,0),0),"")</f>
        <v/>
      </c>
    </row>
    <row r="270" spans="1:9" x14ac:dyDescent="0.25">
      <c r="A270" s="6" t="str">
        <f t="shared" si="45"/>
        <v>GW16</v>
      </c>
      <c r="B270" s="7">
        <v>11</v>
      </c>
      <c r="C270" s="7" t="str">
        <f t="shared" si="44"/>
        <v>GW16-11</v>
      </c>
      <c r="D270" s="1" t="str">
        <f>IFERROR(VLOOKUP(E270,[1]FINAL!$A$2:$J$699,MATCH("Pos",[1]FINAL!$A$1:$J$1,0),0),"")</f>
        <v/>
      </c>
      <c r="E270" s="4" t="str">
        <f>IFERROR(VLOOKUP($A270&amp;$E253,DATA!$F$1:$G$500,MATCH("FULL IN",DATA!$F$1:$G$1,0),0),$E253)</f>
        <v/>
      </c>
      <c r="F270" s="2" t="str">
        <f t="shared" si="46"/>
        <v/>
      </c>
      <c r="G270" s="2" t="str">
        <f>IFERROR(VLOOKUP(E270,[1]FINAL!$A$2:$M$699,MATCH("Team",[1]FINAL!$A$1:$K$1,0),0),"")</f>
        <v/>
      </c>
      <c r="I270" s="4" t="str">
        <f>IFERROR(VLOOKUP($A270&amp;$E253,DATA!$F$1:$H$500,MATCH("FULL OUT",DATA!$F$1:$H$1,0),0),"")</f>
        <v/>
      </c>
    </row>
    <row r="271" spans="1:9" x14ac:dyDescent="0.25">
      <c r="A271" s="6" t="str">
        <f t="shared" si="45"/>
        <v>GW16</v>
      </c>
      <c r="B271" s="7">
        <v>12</v>
      </c>
      <c r="C271" s="7" t="str">
        <f t="shared" si="44"/>
        <v>GW16-12</v>
      </c>
      <c r="D271" s="1" t="str">
        <f>IFERROR(VLOOKUP(E271,[1]FINAL!$A$2:$J$699,MATCH("Pos",[1]FINAL!$A$1:$J$1,0),0),"")</f>
        <v/>
      </c>
      <c r="E271" s="4" t="str">
        <f>IFERROR(VLOOKUP($A271&amp;$E254,DATA!$F$1:$G$500,MATCH("FULL IN",DATA!$F$1:$G$1,0),0),$E254)</f>
        <v/>
      </c>
      <c r="F271" s="2" t="str">
        <f t="shared" si="46"/>
        <v/>
      </c>
      <c r="G271" s="2" t="str">
        <f>IFERROR(VLOOKUP(E271,[1]FINAL!$A$2:$M$699,MATCH("Team",[1]FINAL!$A$1:$K$1,0),0),"")</f>
        <v/>
      </c>
      <c r="I271" s="4" t="str">
        <f>IFERROR(VLOOKUP($A271&amp;$E254,DATA!$F$1:$H$500,MATCH("FULL OUT",DATA!$F$1:$H$1,0),0),"")</f>
        <v/>
      </c>
    </row>
    <row r="272" spans="1:9" x14ac:dyDescent="0.25">
      <c r="A272" s="6" t="str">
        <f t="shared" si="45"/>
        <v>GW16</v>
      </c>
      <c r="B272" s="7">
        <v>13</v>
      </c>
      <c r="C272" s="7" t="str">
        <f t="shared" si="44"/>
        <v>GW16-13</v>
      </c>
      <c r="D272" s="1" t="str">
        <f>IFERROR(VLOOKUP(E272,[1]FINAL!$A$2:$J$699,MATCH("Pos",[1]FINAL!$A$1:$J$1,0),0),"")</f>
        <v/>
      </c>
      <c r="E272" s="4" t="str">
        <f>IFERROR(VLOOKUP($A272&amp;$E255,DATA!$F$1:$G$500,MATCH("FULL IN",DATA!$F$1:$G$1,0),0),$E255)</f>
        <v/>
      </c>
      <c r="F272" s="2" t="str">
        <f t="shared" si="46"/>
        <v/>
      </c>
      <c r="G272" s="2" t="str">
        <f>IFERROR(VLOOKUP(E272,[1]FINAL!$A$2:$M$699,MATCH("Team",[1]FINAL!$A$1:$K$1,0),0),"")</f>
        <v/>
      </c>
      <c r="I272" s="4" t="str">
        <f>IFERROR(VLOOKUP($A272&amp;$E255,DATA!$F$1:$H$500,MATCH("FULL OUT",DATA!$F$1:$H$1,0),0),"")</f>
        <v/>
      </c>
    </row>
    <row r="273" spans="1:9" x14ac:dyDescent="0.25">
      <c r="A273" s="6" t="str">
        <f t="shared" si="45"/>
        <v>GW16</v>
      </c>
      <c r="B273" s="7">
        <v>14</v>
      </c>
      <c r="C273" s="7" t="str">
        <f t="shared" si="44"/>
        <v>GW16-14</v>
      </c>
      <c r="D273" s="1" t="str">
        <f>IFERROR(VLOOKUP(E273,[1]FINAL!$A$2:$J$699,MATCH("Pos",[1]FINAL!$A$1:$J$1,0),0),"")</f>
        <v/>
      </c>
      <c r="E273" s="4" t="str">
        <f>IFERROR(VLOOKUP($A273&amp;$E256,DATA!$F$1:$G$500,MATCH("FULL IN",DATA!$F$1:$G$1,0),0),$E256)</f>
        <v/>
      </c>
      <c r="F273" s="2" t="str">
        <f t="shared" si="46"/>
        <v/>
      </c>
      <c r="G273" s="2" t="str">
        <f>IFERROR(VLOOKUP(E273,[1]FINAL!$A$2:$M$699,MATCH("Team",[1]FINAL!$A$1:$K$1,0),0),"")</f>
        <v/>
      </c>
      <c r="I273" s="4" t="str">
        <f>IFERROR(VLOOKUP($A273&amp;$E256,DATA!$F$1:$H$500,MATCH("FULL OUT",DATA!$F$1:$H$1,0),0),"")</f>
        <v/>
      </c>
    </row>
    <row r="274" spans="1:9" x14ac:dyDescent="0.25">
      <c r="A274" s="6" t="str">
        <f t="shared" si="45"/>
        <v>GW16</v>
      </c>
      <c r="B274" s="7">
        <v>15</v>
      </c>
      <c r="C274" s="7" t="str">
        <f t="shared" si="44"/>
        <v>GW16-15</v>
      </c>
      <c r="D274" s="1" t="str">
        <f>IFERROR(VLOOKUP(E274,[1]FINAL!$A$2:$J$699,MATCH("Pos",[1]FINAL!$A$1:$J$1,0),0),"")</f>
        <v/>
      </c>
      <c r="E274" s="4" t="str">
        <f>IFERROR(VLOOKUP($A274&amp;$E257,DATA!$F$1:$G$500,MATCH("FULL IN",DATA!$F$1:$G$1,0),0),$E257)</f>
        <v/>
      </c>
      <c r="F274" s="2" t="str">
        <f t="shared" si="46"/>
        <v/>
      </c>
      <c r="G274" s="2" t="str">
        <f>IFERROR(VLOOKUP(E274,[1]FINAL!$A$2:$M$699,MATCH("Team",[1]FINAL!$A$1:$K$1,0),0),"")</f>
        <v/>
      </c>
      <c r="I274" s="4" t="str">
        <f>IFERROR(VLOOKUP($A274&amp;$E257,DATA!$F$1:$H$500,MATCH("FULL OUT",DATA!$F$1:$H$1,0),0),"")</f>
        <v/>
      </c>
    </row>
    <row r="277" spans="1:9" x14ac:dyDescent="0.25">
      <c r="A277" s="6" t="s">
        <v>19</v>
      </c>
      <c r="B277" s="7">
        <v>1</v>
      </c>
      <c r="C277" s="7" t="str">
        <f>A277&amp;-B277</f>
        <v>GW17-1</v>
      </c>
      <c r="D277" s="1" t="str">
        <f>IFERROR(VLOOKUP(E277,[1]FINAL!$A$2:$J$699,MATCH("Pos",[1]FINAL!$A$1:$J$1,0),0),"")</f>
        <v/>
      </c>
      <c r="E277" s="4" t="str">
        <f>IFERROR(VLOOKUP($A277&amp;$E260,DATA!$F$1:$G$500,MATCH("FULL IN",DATA!$F$1:$G$1,0),0),$E260)</f>
        <v>Player Name</v>
      </c>
      <c r="G277" s="2" t="str">
        <f>IFERROR(VLOOKUP(E277,[1]FINAL!$A$2:$M$699,MATCH("Team",[1]FINAL!$A$1:$K$1,0),0),"")</f>
        <v/>
      </c>
      <c r="I277" s="4" t="str">
        <f>IFERROR(VLOOKUP($A277&amp;$E260,DATA!$F$1:$H$500,MATCH("FULL OUT",DATA!$F$1:$H$1,0),0),"")</f>
        <v/>
      </c>
    </row>
    <row r="278" spans="1:9" x14ac:dyDescent="0.25">
      <c r="A278" s="6" t="str">
        <f>A277</f>
        <v>GW17</v>
      </c>
      <c r="B278" s="7">
        <v>2</v>
      </c>
      <c r="C278" s="7" t="str">
        <f t="shared" ref="C278:C291" si="47">A278&amp;-B278</f>
        <v>GW17-2</v>
      </c>
      <c r="D278" s="1" t="str">
        <f>IFERROR(VLOOKUP(E278,[1]FINAL!$A$2:$J$699,MATCH("Pos",[1]FINAL!$A$1:$J$1,0),0),"")</f>
        <v/>
      </c>
      <c r="E278" s="4" t="str">
        <f>IFERROR(VLOOKUP($A278&amp;$E261,DATA!$F$1:$G$500,MATCH("FULL IN",DATA!$F$1:$G$1,0),0),$E261)</f>
        <v/>
      </c>
      <c r="F278" s="2" t="str">
        <f>IF(Z278="","","IN")</f>
        <v/>
      </c>
      <c r="G278" s="2" t="str">
        <f>IFERROR(VLOOKUP(E278,[1]FINAL!$A$2:$M$699,MATCH("Team",[1]FINAL!$A$1:$K$1,0),0),"")</f>
        <v/>
      </c>
    </row>
    <row r="279" spans="1:9" x14ac:dyDescent="0.25">
      <c r="A279" s="6" t="str">
        <f t="shared" ref="A279:A291" si="48">A278</f>
        <v>GW17</v>
      </c>
      <c r="B279" s="7">
        <v>3</v>
      </c>
      <c r="C279" s="7" t="str">
        <f t="shared" si="47"/>
        <v>GW17-3</v>
      </c>
      <c r="D279" s="1" t="str">
        <f>IFERROR(VLOOKUP(E279,[1]FINAL!$A$2:$J$699,MATCH("Pos",[1]FINAL!$A$1:$J$1,0),0),"")</f>
        <v/>
      </c>
      <c r="E279" s="4" t="str">
        <f>IFERROR(VLOOKUP($A279&amp;$E262,DATA!$F$1:$G$500,MATCH("FULL IN",DATA!$F$1:$G$1,0),0),$E262)</f>
        <v/>
      </c>
      <c r="F279" s="2" t="str">
        <f t="shared" ref="F279:F291" si="49">IF(Z279="","","IN")</f>
        <v/>
      </c>
      <c r="G279" s="2" t="str">
        <f>IFERROR(VLOOKUP(E279,[1]FINAL!$A$2:$M$699,MATCH("Team",[1]FINAL!$A$1:$K$1,0),0),"")</f>
        <v/>
      </c>
      <c r="I279" s="4" t="str">
        <f>IFERROR(VLOOKUP($A279&amp;$E262,DATA!$F$1:$H$500,MATCH("FULL OUT",DATA!$F$1:$H$1,0),0),"")</f>
        <v/>
      </c>
    </row>
    <row r="280" spans="1:9" x14ac:dyDescent="0.25">
      <c r="A280" s="6" t="str">
        <f t="shared" si="48"/>
        <v>GW17</v>
      </c>
      <c r="B280" s="7">
        <v>4</v>
      </c>
      <c r="C280" s="7" t="str">
        <f t="shared" si="47"/>
        <v>GW17-4</v>
      </c>
      <c r="D280" s="1" t="str">
        <f>IFERROR(VLOOKUP(E280,[1]FINAL!$A$2:$J$699,MATCH("Pos",[1]FINAL!$A$1:$J$1,0),0),"")</f>
        <v/>
      </c>
      <c r="E280" s="4" t="str">
        <f>IFERROR(VLOOKUP($A280&amp;$E263,DATA!$F$1:$G$500,MATCH("FULL IN",DATA!$F$1:$G$1,0),0),$E263)</f>
        <v/>
      </c>
      <c r="F280" s="2" t="str">
        <f t="shared" si="49"/>
        <v/>
      </c>
      <c r="G280" s="2" t="str">
        <f>IFERROR(VLOOKUP(E280,[1]FINAL!$A$2:$M$699,MATCH("Team",[1]FINAL!$A$1:$K$1,0),0),"")</f>
        <v/>
      </c>
      <c r="I280" s="4" t="str">
        <f>IFERROR(VLOOKUP($A280&amp;$E263,DATA!$F$1:$H$500,MATCH("FULL OUT",DATA!$F$1:$H$1,0),0),"")</f>
        <v/>
      </c>
    </row>
    <row r="281" spans="1:9" x14ac:dyDescent="0.25">
      <c r="A281" s="6" t="str">
        <f t="shared" si="48"/>
        <v>GW17</v>
      </c>
      <c r="B281" s="7">
        <v>5</v>
      </c>
      <c r="C281" s="7" t="str">
        <f t="shared" si="47"/>
        <v>GW17-5</v>
      </c>
      <c r="D281" s="1" t="str">
        <f>IFERROR(VLOOKUP(E281,[1]FINAL!$A$2:$J$699,MATCH("Pos",[1]FINAL!$A$1:$J$1,0),0),"")</f>
        <v/>
      </c>
      <c r="E281" s="4" t="str">
        <f>IFERROR(VLOOKUP($A281&amp;$E264,DATA!$F$1:$G$500,MATCH("FULL IN",DATA!$F$1:$G$1,0),0),$E264)</f>
        <v/>
      </c>
      <c r="F281" s="2" t="str">
        <f t="shared" si="49"/>
        <v/>
      </c>
      <c r="G281" s="2" t="str">
        <f>IFERROR(VLOOKUP(E281,[1]FINAL!$A$2:$M$699,MATCH("Team",[1]FINAL!$A$1:$K$1,0),0),"")</f>
        <v/>
      </c>
      <c r="I281" s="4" t="str">
        <f>IFERROR(VLOOKUP($A281&amp;$E264,DATA!$F$1:$H$500,MATCH("FULL OUT",DATA!$F$1:$H$1,0),0),"")</f>
        <v/>
      </c>
    </row>
    <row r="282" spans="1:9" x14ac:dyDescent="0.25">
      <c r="A282" s="6" t="str">
        <f t="shared" si="48"/>
        <v>GW17</v>
      </c>
      <c r="B282" s="7">
        <v>6</v>
      </c>
      <c r="C282" s="7" t="str">
        <f t="shared" si="47"/>
        <v>GW17-6</v>
      </c>
      <c r="D282" s="1" t="str">
        <f>IFERROR(VLOOKUP(E282,[1]FINAL!$A$2:$J$699,MATCH("Pos",[1]FINAL!$A$1:$J$1,0),0),"")</f>
        <v/>
      </c>
      <c r="E282" s="4" t="str">
        <f>IFERROR(VLOOKUP($A282&amp;$E265,DATA!$F$1:$G$500,MATCH("FULL IN",DATA!$F$1:$G$1,0),0),$E265)</f>
        <v/>
      </c>
      <c r="F282" s="2" t="str">
        <f t="shared" si="49"/>
        <v/>
      </c>
      <c r="G282" s="2" t="str">
        <f>IFERROR(VLOOKUP(E282,[1]FINAL!$A$2:$M$699,MATCH("Team",[1]FINAL!$A$1:$K$1,0),0),"")</f>
        <v/>
      </c>
      <c r="I282" s="4" t="str">
        <f>IFERROR(VLOOKUP($A282&amp;$E265,DATA!$F$1:$H$500,MATCH("FULL OUT",DATA!$F$1:$H$1,0),0),"")</f>
        <v/>
      </c>
    </row>
    <row r="283" spans="1:9" x14ac:dyDescent="0.25">
      <c r="A283" s="6" t="str">
        <f t="shared" si="48"/>
        <v>GW17</v>
      </c>
      <c r="B283" s="7">
        <v>7</v>
      </c>
      <c r="C283" s="7" t="str">
        <f t="shared" si="47"/>
        <v>GW17-7</v>
      </c>
      <c r="D283" s="1" t="str">
        <f>IFERROR(VLOOKUP(E283,[1]FINAL!$A$2:$J$699,MATCH("Pos",[1]FINAL!$A$1:$J$1,0),0),"")</f>
        <v/>
      </c>
      <c r="E283" s="4" t="str">
        <f>IFERROR(VLOOKUP($A283&amp;$E266,DATA!$F$1:$G$500,MATCH("FULL IN",DATA!$F$1:$G$1,0),0),$E266)</f>
        <v/>
      </c>
      <c r="F283" s="2" t="str">
        <f t="shared" si="49"/>
        <v/>
      </c>
      <c r="G283" s="2" t="str">
        <f>IFERROR(VLOOKUP(E283,[1]FINAL!$A$2:$M$699,MATCH("Team",[1]FINAL!$A$1:$K$1,0),0),"")</f>
        <v/>
      </c>
      <c r="I283" s="4" t="str">
        <f>IFERROR(VLOOKUP($A283&amp;$E266,DATA!$F$1:$H$500,MATCH("FULL OUT",DATA!$F$1:$H$1,0),0),"")</f>
        <v/>
      </c>
    </row>
    <row r="284" spans="1:9" x14ac:dyDescent="0.25">
      <c r="A284" s="6" t="str">
        <f t="shared" si="48"/>
        <v>GW17</v>
      </c>
      <c r="B284" s="7">
        <v>8</v>
      </c>
      <c r="C284" s="7" t="str">
        <f t="shared" si="47"/>
        <v>GW17-8</v>
      </c>
      <c r="D284" s="1" t="str">
        <f>IFERROR(VLOOKUP(E284,[1]FINAL!$A$2:$J$699,MATCH("Pos",[1]FINAL!$A$1:$J$1,0),0),"")</f>
        <v/>
      </c>
      <c r="E284" s="4" t="str">
        <f>IFERROR(VLOOKUP($A284&amp;$E267,DATA!$F$1:$G$500,MATCH("FULL IN",DATA!$F$1:$G$1,0),0),$E267)</f>
        <v/>
      </c>
      <c r="F284" s="2" t="str">
        <f t="shared" si="49"/>
        <v/>
      </c>
      <c r="G284" s="2" t="str">
        <f>IFERROR(VLOOKUP(E284,[1]FINAL!$A$2:$M$699,MATCH("Team",[1]FINAL!$A$1:$K$1,0),0),"")</f>
        <v/>
      </c>
      <c r="I284" s="4" t="str">
        <f>IFERROR(VLOOKUP($A284&amp;$E267,DATA!$F$1:$H$500,MATCH("FULL OUT",DATA!$F$1:$H$1,0),0),"")</f>
        <v/>
      </c>
    </row>
    <row r="285" spans="1:9" x14ac:dyDescent="0.25">
      <c r="A285" s="6" t="str">
        <f t="shared" si="48"/>
        <v>GW17</v>
      </c>
      <c r="B285" s="7">
        <v>9</v>
      </c>
      <c r="C285" s="7" t="str">
        <f t="shared" si="47"/>
        <v>GW17-9</v>
      </c>
      <c r="D285" s="1" t="str">
        <f>IFERROR(VLOOKUP(E285,[1]FINAL!$A$2:$J$699,MATCH("Pos",[1]FINAL!$A$1:$J$1,0),0),"")</f>
        <v/>
      </c>
      <c r="E285" s="4" t="str">
        <f>IFERROR(VLOOKUP($A285&amp;$E268,DATA!$F$1:$G$500,MATCH("FULL IN",DATA!$F$1:$G$1,0),0),$E268)</f>
        <v/>
      </c>
      <c r="F285" s="2" t="str">
        <f t="shared" si="49"/>
        <v/>
      </c>
      <c r="G285" s="2" t="str">
        <f>IFERROR(VLOOKUP(E285,[1]FINAL!$A$2:$M$699,MATCH("Team",[1]FINAL!$A$1:$K$1,0),0),"")</f>
        <v/>
      </c>
      <c r="I285" s="4" t="str">
        <f>IFERROR(VLOOKUP($A285&amp;$E268,DATA!$F$1:$H$500,MATCH("FULL OUT",DATA!$F$1:$H$1,0),0),"")</f>
        <v/>
      </c>
    </row>
    <row r="286" spans="1:9" x14ac:dyDescent="0.25">
      <c r="A286" s="6" t="str">
        <f t="shared" si="48"/>
        <v>GW17</v>
      </c>
      <c r="B286" s="7">
        <v>10</v>
      </c>
      <c r="C286" s="7" t="str">
        <f t="shared" si="47"/>
        <v>GW17-10</v>
      </c>
      <c r="D286" s="1" t="str">
        <f>IFERROR(VLOOKUP(E286,[1]FINAL!$A$2:$J$699,MATCH("Pos",[1]FINAL!$A$1:$J$1,0),0),"")</f>
        <v/>
      </c>
      <c r="E286" s="4" t="str">
        <f>IFERROR(VLOOKUP($A286&amp;$E269,DATA!$F$1:$G$500,MATCH("FULL IN",DATA!$F$1:$G$1,0),0),$E269)</f>
        <v/>
      </c>
      <c r="F286" s="2" t="str">
        <f t="shared" si="49"/>
        <v/>
      </c>
      <c r="G286" s="2" t="str">
        <f>IFERROR(VLOOKUP(E286,[1]FINAL!$A$2:$M$699,MATCH("Team",[1]FINAL!$A$1:$K$1,0),0),"")</f>
        <v/>
      </c>
      <c r="I286" s="4" t="str">
        <f>IFERROR(VLOOKUP($A286&amp;$E269,DATA!$F$1:$H$500,MATCH("FULL OUT",DATA!$F$1:$H$1,0),0),"")</f>
        <v/>
      </c>
    </row>
    <row r="287" spans="1:9" x14ac:dyDescent="0.25">
      <c r="A287" s="6" t="str">
        <f t="shared" si="48"/>
        <v>GW17</v>
      </c>
      <c r="B287" s="7">
        <v>11</v>
      </c>
      <c r="C287" s="7" t="str">
        <f t="shared" si="47"/>
        <v>GW17-11</v>
      </c>
      <c r="D287" s="1" t="str">
        <f>IFERROR(VLOOKUP(E287,[1]FINAL!$A$2:$J$699,MATCH("Pos",[1]FINAL!$A$1:$J$1,0),0),"")</f>
        <v/>
      </c>
      <c r="E287" s="4" t="str">
        <f>IFERROR(VLOOKUP($A287&amp;$E270,DATA!$F$1:$G$500,MATCH("FULL IN",DATA!$F$1:$G$1,0),0),$E270)</f>
        <v/>
      </c>
      <c r="F287" s="2" t="str">
        <f t="shared" si="49"/>
        <v/>
      </c>
      <c r="G287" s="2" t="str">
        <f>IFERROR(VLOOKUP(E287,[1]FINAL!$A$2:$M$699,MATCH("Team",[1]FINAL!$A$1:$K$1,0),0),"")</f>
        <v/>
      </c>
      <c r="I287" s="4" t="str">
        <f>IFERROR(VLOOKUP($A287&amp;$E270,DATA!$F$1:$H$500,MATCH("FULL OUT",DATA!$F$1:$H$1,0),0),"")</f>
        <v/>
      </c>
    </row>
    <row r="288" spans="1:9" x14ac:dyDescent="0.25">
      <c r="A288" s="6" t="str">
        <f t="shared" si="48"/>
        <v>GW17</v>
      </c>
      <c r="B288" s="7">
        <v>12</v>
      </c>
      <c r="C288" s="7" t="str">
        <f t="shared" si="47"/>
        <v>GW17-12</v>
      </c>
      <c r="D288" s="1" t="str">
        <f>IFERROR(VLOOKUP(E288,[1]FINAL!$A$2:$J$699,MATCH("Pos",[1]FINAL!$A$1:$J$1,0),0),"")</f>
        <v/>
      </c>
      <c r="E288" s="4" t="str">
        <f>IFERROR(VLOOKUP($A288&amp;$E271,DATA!$F$1:$G$500,MATCH("FULL IN",DATA!$F$1:$G$1,0),0),$E271)</f>
        <v/>
      </c>
      <c r="F288" s="2" t="str">
        <f t="shared" si="49"/>
        <v/>
      </c>
      <c r="G288" s="2" t="str">
        <f>IFERROR(VLOOKUP(E288,[1]FINAL!$A$2:$M$699,MATCH("Team",[1]FINAL!$A$1:$K$1,0),0),"")</f>
        <v/>
      </c>
      <c r="I288" s="4" t="str">
        <f>IFERROR(VLOOKUP($A288&amp;$E271,DATA!$F$1:$H$500,MATCH("FULL OUT",DATA!$F$1:$H$1,0),0),"")</f>
        <v/>
      </c>
    </row>
    <row r="289" spans="1:9" x14ac:dyDescent="0.25">
      <c r="A289" s="6" t="str">
        <f t="shared" si="48"/>
        <v>GW17</v>
      </c>
      <c r="B289" s="7">
        <v>13</v>
      </c>
      <c r="C289" s="7" t="str">
        <f t="shared" si="47"/>
        <v>GW17-13</v>
      </c>
      <c r="D289" s="1" t="str">
        <f>IFERROR(VLOOKUP(E289,[1]FINAL!$A$2:$J$699,MATCH("Pos",[1]FINAL!$A$1:$J$1,0),0),"")</f>
        <v/>
      </c>
      <c r="E289" s="4" t="str">
        <f>IFERROR(VLOOKUP($A289&amp;$E272,DATA!$F$1:$G$500,MATCH("FULL IN",DATA!$F$1:$G$1,0),0),$E272)</f>
        <v/>
      </c>
      <c r="F289" s="2" t="str">
        <f t="shared" si="49"/>
        <v/>
      </c>
      <c r="G289" s="2" t="str">
        <f>IFERROR(VLOOKUP(E289,[1]FINAL!$A$2:$M$699,MATCH("Team",[1]FINAL!$A$1:$K$1,0),0),"")</f>
        <v/>
      </c>
      <c r="I289" s="4" t="str">
        <f>IFERROR(VLOOKUP($A289&amp;$E272,DATA!$F$1:$H$500,MATCH("FULL OUT",DATA!$F$1:$H$1,0),0),"")</f>
        <v/>
      </c>
    </row>
    <row r="290" spans="1:9" x14ac:dyDescent="0.25">
      <c r="A290" s="6" t="str">
        <f t="shared" si="48"/>
        <v>GW17</v>
      </c>
      <c r="B290" s="7">
        <v>14</v>
      </c>
      <c r="C290" s="7" t="str">
        <f t="shared" si="47"/>
        <v>GW17-14</v>
      </c>
      <c r="D290" s="1" t="str">
        <f>IFERROR(VLOOKUP(E290,[1]FINAL!$A$2:$J$699,MATCH("Pos",[1]FINAL!$A$1:$J$1,0),0),"")</f>
        <v/>
      </c>
      <c r="E290" s="4" t="str">
        <f>IFERROR(VLOOKUP($A290&amp;$E273,DATA!$F$1:$G$500,MATCH("FULL IN",DATA!$F$1:$G$1,0),0),$E273)</f>
        <v/>
      </c>
      <c r="F290" s="2" t="str">
        <f t="shared" si="49"/>
        <v/>
      </c>
      <c r="G290" s="2" t="str">
        <f>IFERROR(VLOOKUP(E290,[1]FINAL!$A$2:$M$699,MATCH("Team",[1]FINAL!$A$1:$K$1,0),0),"")</f>
        <v/>
      </c>
      <c r="I290" s="4" t="str">
        <f>IFERROR(VLOOKUP($A290&amp;$E273,DATA!$F$1:$H$500,MATCH("FULL OUT",DATA!$F$1:$H$1,0),0),"")</f>
        <v/>
      </c>
    </row>
    <row r="291" spans="1:9" x14ac:dyDescent="0.25">
      <c r="A291" s="6" t="str">
        <f t="shared" si="48"/>
        <v>GW17</v>
      </c>
      <c r="B291" s="7">
        <v>15</v>
      </c>
      <c r="C291" s="7" t="str">
        <f t="shared" si="47"/>
        <v>GW17-15</v>
      </c>
      <c r="D291" s="1" t="str">
        <f>IFERROR(VLOOKUP(E291,[1]FINAL!$A$2:$J$699,MATCH("Pos",[1]FINAL!$A$1:$J$1,0),0),"")</f>
        <v/>
      </c>
      <c r="E291" s="4" t="str">
        <f>IFERROR(VLOOKUP($A291&amp;$E274,DATA!$F$1:$G$500,MATCH("FULL IN",DATA!$F$1:$G$1,0),0),$E274)</f>
        <v/>
      </c>
      <c r="F291" s="2" t="str">
        <f t="shared" si="49"/>
        <v/>
      </c>
      <c r="G291" s="2" t="str">
        <f>IFERROR(VLOOKUP(E291,[1]FINAL!$A$2:$M$699,MATCH("Team",[1]FINAL!$A$1:$K$1,0),0),"")</f>
        <v/>
      </c>
      <c r="I291" s="4" t="str">
        <f>IFERROR(VLOOKUP($A291&amp;$E274,DATA!$F$1:$H$500,MATCH("FULL OUT",DATA!$F$1:$H$1,0),0),"")</f>
        <v/>
      </c>
    </row>
    <row r="294" spans="1:9" x14ac:dyDescent="0.25">
      <c r="A294" s="6" t="s">
        <v>20</v>
      </c>
      <c r="B294" s="7">
        <v>1</v>
      </c>
      <c r="C294" s="7" t="str">
        <f>A294&amp;-B294</f>
        <v>GW18-1</v>
      </c>
      <c r="D294" s="1" t="str">
        <f>IFERROR(VLOOKUP(E294,[1]FINAL!$A$2:$J$699,MATCH("Pos",[1]FINAL!$A$1:$J$1,0),0),"")</f>
        <v/>
      </c>
      <c r="E294" s="4" t="str">
        <f>IFERROR(VLOOKUP($A294&amp;$E277,DATA!$F$1:$G$500,MATCH("FULL IN",DATA!$F$1:$G$1,0),0),$E277)</f>
        <v>Player Name</v>
      </c>
      <c r="G294" s="2" t="str">
        <f>IFERROR(VLOOKUP(E294,[1]FINAL!$A$2:$M$699,MATCH("Team",[1]FINAL!$A$1:$K$1,0),0),"")</f>
        <v/>
      </c>
      <c r="I294" s="4" t="str">
        <f>IFERROR(VLOOKUP($A294&amp;$E277,DATA!$F$1:$H$500,MATCH("FULL OUT",DATA!$F$1:$H$1,0),0),"")</f>
        <v/>
      </c>
    </row>
    <row r="295" spans="1:9" x14ac:dyDescent="0.25">
      <c r="A295" s="6" t="str">
        <f>A294</f>
        <v>GW18</v>
      </c>
      <c r="B295" s="7">
        <v>2</v>
      </c>
      <c r="C295" s="7" t="str">
        <f t="shared" ref="C295:C308" si="50">A295&amp;-B295</f>
        <v>GW18-2</v>
      </c>
      <c r="D295" s="1" t="str">
        <f>IFERROR(VLOOKUP(E295,[1]FINAL!$A$2:$J$699,MATCH("Pos",[1]FINAL!$A$1:$J$1,0),0),"")</f>
        <v/>
      </c>
      <c r="E295" s="4" t="str">
        <f>IFERROR(VLOOKUP($A295&amp;$E278,DATA!$F$1:$G$500,MATCH("FULL IN",DATA!$F$1:$G$1,0),0),$E278)</f>
        <v/>
      </c>
      <c r="F295" s="2" t="str">
        <f>IF(Z295="","","IN")</f>
        <v/>
      </c>
      <c r="G295" s="2" t="str">
        <f>IFERROR(VLOOKUP(E295,[1]FINAL!$A$2:$M$699,MATCH("Team",[1]FINAL!$A$1:$K$1,0),0),"")</f>
        <v/>
      </c>
      <c r="I295" s="4" t="str">
        <f>IFERROR(VLOOKUP($A295&amp;$E278,DATA!$F$1:$H$500,MATCH("FULL OUT",DATA!$F$1:$H$1,0),0),"")</f>
        <v/>
      </c>
    </row>
    <row r="296" spans="1:9" x14ac:dyDescent="0.25">
      <c r="A296" s="6" t="str">
        <f t="shared" ref="A296:A308" si="51">A295</f>
        <v>GW18</v>
      </c>
      <c r="B296" s="7">
        <v>3</v>
      </c>
      <c r="C296" s="7" t="str">
        <f t="shared" si="50"/>
        <v>GW18-3</v>
      </c>
      <c r="D296" s="1" t="str">
        <f>IFERROR(VLOOKUP(E296,[1]FINAL!$A$2:$J$699,MATCH("Pos",[1]FINAL!$A$1:$J$1,0),0),"")</f>
        <v/>
      </c>
      <c r="E296" s="4" t="str">
        <f>IFERROR(VLOOKUP($A296&amp;$E279,DATA!$F$1:$G$500,MATCH("FULL IN",DATA!$F$1:$G$1,0),0),$E279)</f>
        <v/>
      </c>
      <c r="F296" s="2" t="str">
        <f t="shared" ref="F296:F308" si="52">IF(Z296="","","IN")</f>
        <v/>
      </c>
      <c r="G296" s="2" t="str">
        <f>IFERROR(VLOOKUP(E296,[1]FINAL!$A$2:$M$699,MATCH("Team",[1]FINAL!$A$1:$K$1,0),0),"")</f>
        <v/>
      </c>
      <c r="I296" s="4" t="str">
        <f>IFERROR(VLOOKUP($A296&amp;$E279,DATA!$F$1:$H$500,MATCH("FULL OUT",DATA!$F$1:$H$1,0),0),"")</f>
        <v/>
      </c>
    </row>
    <row r="297" spans="1:9" x14ac:dyDescent="0.25">
      <c r="A297" s="6" t="str">
        <f t="shared" si="51"/>
        <v>GW18</v>
      </c>
      <c r="B297" s="7">
        <v>4</v>
      </c>
      <c r="C297" s="7" t="str">
        <f t="shared" si="50"/>
        <v>GW18-4</v>
      </c>
      <c r="D297" s="1" t="str">
        <f>IFERROR(VLOOKUP(E297,[1]FINAL!$A$2:$J$699,MATCH("Pos",[1]FINAL!$A$1:$J$1,0),0),"")</f>
        <v/>
      </c>
      <c r="E297" s="4" t="str">
        <f>IFERROR(VLOOKUP($A297&amp;$E280,DATA!$F$1:$G$500,MATCH("FULL IN",DATA!$F$1:$G$1,0),0),$E280)</f>
        <v/>
      </c>
      <c r="F297" s="2" t="str">
        <f t="shared" si="52"/>
        <v/>
      </c>
      <c r="G297" s="2" t="str">
        <f>IFERROR(VLOOKUP(E297,[1]FINAL!$A$2:$M$699,MATCH("Team",[1]FINAL!$A$1:$K$1,0),0),"")</f>
        <v/>
      </c>
      <c r="I297" s="4" t="str">
        <f>IFERROR(VLOOKUP($A297&amp;$E280,DATA!$F$1:$H$500,MATCH("FULL OUT",DATA!$F$1:$H$1,0),0),"")</f>
        <v/>
      </c>
    </row>
    <row r="298" spans="1:9" x14ac:dyDescent="0.25">
      <c r="A298" s="6" t="str">
        <f t="shared" si="51"/>
        <v>GW18</v>
      </c>
      <c r="B298" s="7">
        <v>5</v>
      </c>
      <c r="C298" s="7" t="str">
        <f t="shared" si="50"/>
        <v>GW18-5</v>
      </c>
      <c r="D298" s="1" t="str">
        <f>IFERROR(VLOOKUP(E298,[1]FINAL!$A$2:$J$699,MATCH("Pos",[1]FINAL!$A$1:$J$1,0),0),"")</f>
        <v/>
      </c>
      <c r="E298" s="4" t="str">
        <f>IFERROR(VLOOKUP($A298&amp;$E281,DATA!$F$1:$G$500,MATCH("FULL IN",DATA!$F$1:$G$1,0),0),$E281)</f>
        <v/>
      </c>
      <c r="F298" s="2" t="str">
        <f t="shared" si="52"/>
        <v/>
      </c>
      <c r="G298" s="2" t="str">
        <f>IFERROR(VLOOKUP(E298,[1]FINAL!$A$2:$M$699,MATCH("Team",[1]FINAL!$A$1:$K$1,0),0),"")</f>
        <v/>
      </c>
      <c r="I298" s="4" t="str">
        <f>IFERROR(VLOOKUP($A298&amp;$E281,DATA!$F$1:$H$500,MATCH("FULL OUT",DATA!$F$1:$H$1,0),0),"")</f>
        <v/>
      </c>
    </row>
    <row r="299" spans="1:9" x14ac:dyDescent="0.25">
      <c r="A299" s="6" t="str">
        <f t="shared" si="51"/>
        <v>GW18</v>
      </c>
      <c r="B299" s="7">
        <v>6</v>
      </c>
      <c r="C299" s="7" t="str">
        <f t="shared" si="50"/>
        <v>GW18-6</v>
      </c>
      <c r="D299" s="1" t="str">
        <f>IFERROR(VLOOKUP(E299,[1]FINAL!$A$2:$J$699,MATCH("Pos",[1]FINAL!$A$1:$J$1,0),0),"")</f>
        <v/>
      </c>
      <c r="E299" s="4" t="str">
        <f>IFERROR(VLOOKUP($A299&amp;$E282,DATA!$F$1:$G$500,MATCH("FULL IN",DATA!$F$1:$G$1,0),0),$E282)</f>
        <v/>
      </c>
      <c r="F299" s="2" t="str">
        <f t="shared" si="52"/>
        <v/>
      </c>
      <c r="G299" s="2" t="str">
        <f>IFERROR(VLOOKUP(E299,[1]FINAL!$A$2:$M$699,MATCH("Team",[1]FINAL!$A$1:$K$1,0),0),"")</f>
        <v/>
      </c>
      <c r="I299" s="4" t="str">
        <f>IFERROR(VLOOKUP($A299&amp;$E282,DATA!$F$1:$H$500,MATCH("FULL OUT",DATA!$F$1:$H$1,0),0),"")</f>
        <v/>
      </c>
    </row>
    <row r="300" spans="1:9" x14ac:dyDescent="0.25">
      <c r="A300" s="6" t="str">
        <f t="shared" si="51"/>
        <v>GW18</v>
      </c>
      <c r="B300" s="7">
        <v>7</v>
      </c>
      <c r="C300" s="7" t="str">
        <f t="shared" si="50"/>
        <v>GW18-7</v>
      </c>
      <c r="D300" s="1" t="str">
        <f>IFERROR(VLOOKUP(E300,[1]FINAL!$A$2:$J$699,MATCH("Pos",[1]FINAL!$A$1:$J$1,0),0),"")</f>
        <v/>
      </c>
      <c r="E300" s="4" t="str">
        <f>IFERROR(VLOOKUP($A300&amp;$E283,DATA!$F$1:$G$500,MATCH("FULL IN",DATA!$F$1:$G$1,0),0),$E283)</f>
        <v/>
      </c>
      <c r="F300" s="2" t="str">
        <f t="shared" si="52"/>
        <v/>
      </c>
      <c r="G300" s="2" t="str">
        <f>IFERROR(VLOOKUP(E300,[1]FINAL!$A$2:$M$699,MATCH("Team",[1]FINAL!$A$1:$K$1,0),0),"")</f>
        <v/>
      </c>
      <c r="I300" s="4" t="str">
        <f>IFERROR(VLOOKUP($A300&amp;$E283,DATA!$F$1:$H$500,MATCH("FULL OUT",DATA!$F$1:$H$1,0),0),"")</f>
        <v/>
      </c>
    </row>
    <row r="301" spans="1:9" x14ac:dyDescent="0.25">
      <c r="A301" s="6" t="str">
        <f t="shared" si="51"/>
        <v>GW18</v>
      </c>
      <c r="B301" s="7">
        <v>8</v>
      </c>
      <c r="C301" s="7" t="str">
        <f t="shared" si="50"/>
        <v>GW18-8</v>
      </c>
      <c r="D301" s="1" t="str">
        <f>IFERROR(VLOOKUP(E301,[1]FINAL!$A$2:$J$699,MATCH("Pos",[1]FINAL!$A$1:$J$1,0),0),"")</f>
        <v/>
      </c>
      <c r="E301" s="4" t="str">
        <f>IFERROR(VLOOKUP($A301&amp;$E284,DATA!$F$1:$G$500,MATCH("FULL IN",DATA!$F$1:$G$1,0),0),$E284)</f>
        <v/>
      </c>
      <c r="F301" s="2" t="str">
        <f t="shared" si="52"/>
        <v/>
      </c>
      <c r="G301" s="2" t="str">
        <f>IFERROR(VLOOKUP(E301,[1]FINAL!$A$2:$M$699,MATCH("Team",[1]FINAL!$A$1:$K$1,0),0),"")</f>
        <v/>
      </c>
      <c r="I301" s="4" t="str">
        <f>IFERROR(VLOOKUP($A301&amp;$E284,DATA!$F$1:$H$500,MATCH("FULL OUT",DATA!$F$1:$H$1,0),0),"")</f>
        <v/>
      </c>
    </row>
    <row r="302" spans="1:9" x14ac:dyDescent="0.25">
      <c r="A302" s="6" t="str">
        <f t="shared" si="51"/>
        <v>GW18</v>
      </c>
      <c r="B302" s="7">
        <v>9</v>
      </c>
      <c r="C302" s="7" t="str">
        <f t="shared" si="50"/>
        <v>GW18-9</v>
      </c>
      <c r="D302" s="1" t="str">
        <f>IFERROR(VLOOKUP(E302,[1]FINAL!$A$2:$J$699,MATCH("Pos",[1]FINAL!$A$1:$J$1,0),0),"")</f>
        <v/>
      </c>
      <c r="E302" s="4" t="str">
        <f>IFERROR(VLOOKUP($A302&amp;$E285,DATA!$F$1:$G$500,MATCH("FULL IN",DATA!$F$1:$G$1,0),0),$E285)</f>
        <v/>
      </c>
      <c r="F302" s="2" t="str">
        <f t="shared" si="52"/>
        <v/>
      </c>
      <c r="G302" s="2" t="str">
        <f>IFERROR(VLOOKUP(E302,[1]FINAL!$A$2:$M$699,MATCH("Team",[1]FINAL!$A$1:$K$1,0),0),"")</f>
        <v/>
      </c>
      <c r="I302" s="4" t="str">
        <f>IFERROR(VLOOKUP($A302&amp;$E285,DATA!$F$1:$H$500,MATCH("FULL OUT",DATA!$F$1:$H$1,0),0),"")</f>
        <v/>
      </c>
    </row>
    <row r="303" spans="1:9" x14ac:dyDescent="0.25">
      <c r="A303" s="6" t="str">
        <f t="shared" si="51"/>
        <v>GW18</v>
      </c>
      <c r="B303" s="7">
        <v>10</v>
      </c>
      <c r="C303" s="7" t="str">
        <f t="shared" si="50"/>
        <v>GW18-10</v>
      </c>
      <c r="D303" s="1" t="str">
        <f>IFERROR(VLOOKUP(E303,[1]FINAL!$A$2:$J$699,MATCH("Pos",[1]FINAL!$A$1:$J$1,0),0),"")</f>
        <v/>
      </c>
      <c r="E303" s="4" t="str">
        <f>IFERROR(VLOOKUP($A303&amp;$E286,DATA!$F$1:$G$500,MATCH("FULL IN",DATA!$F$1:$G$1,0),0),$E286)</f>
        <v/>
      </c>
      <c r="F303" s="2" t="str">
        <f t="shared" si="52"/>
        <v/>
      </c>
      <c r="G303" s="2" t="str">
        <f>IFERROR(VLOOKUP(E303,[1]FINAL!$A$2:$M$699,MATCH("Team",[1]FINAL!$A$1:$K$1,0),0),"")</f>
        <v/>
      </c>
      <c r="I303" s="4" t="str">
        <f>IFERROR(VLOOKUP($A303&amp;$E286,DATA!$F$1:$H$500,MATCH("FULL OUT",DATA!$F$1:$H$1,0),0),"")</f>
        <v/>
      </c>
    </row>
    <row r="304" spans="1:9" x14ac:dyDescent="0.25">
      <c r="A304" s="6" t="str">
        <f t="shared" si="51"/>
        <v>GW18</v>
      </c>
      <c r="B304" s="7">
        <v>11</v>
      </c>
      <c r="C304" s="7" t="str">
        <f t="shared" si="50"/>
        <v>GW18-11</v>
      </c>
      <c r="D304" s="1" t="str">
        <f>IFERROR(VLOOKUP(E304,[1]FINAL!$A$2:$J$699,MATCH("Pos",[1]FINAL!$A$1:$J$1,0),0),"")</f>
        <v/>
      </c>
      <c r="E304" s="4" t="str">
        <f>IFERROR(VLOOKUP($A304&amp;$E287,DATA!$F$1:$G$500,MATCH("FULL IN",DATA!$F$1:$G$1,0),0),$E287)</f>
        <v/>
      </c>
      <c r="F304" s="2" t="str">
        <f t="shared" si="52"/>
        <v/>
      </c>
      <c r="G304" s="2" t="str">
        <f>IFERROR(VLOOKUP(E304,[1]FINAL!$A$2:$M$699,MATCH("Team",[1]FINAL!$A$1:$K$1,0),0),"")</f>
        <v/>
      </c>
      <c r="I304" s="4" t="str">
        <f>IFERROR(VLOOKUP($A304&amp;$E287,DATA!$F$1:$H$500,MATCH("FULL OUT",DATA!$F$1:$H$1,0),0),"")</f>
        <v/>
      </c>
    </row>
    <row r="305" spans="1:9" x14ac:dyDescent="0.25">
      <c r="A305" s="6" t="str">
        <f t="shared" si="51"/>
        <v>GW18</v>
      </c>
      <c r="B305" s="7">
        <v>12</v>
      </c>
      <c r="C305" s="7" t="str">
        <f t="shared" si="50"/>
        <v>GW18-12</v>
      </c>
      <c r="D305" s="1" t="str">
        <f>IFERROR(VLOOKUP(E305,[1]FINAL!$A$2:$J$699,MATCH("Pos",[1]FINAL!$A$1:$J$1,0),0),"")</f>
        <v/>
      </c>
      <c r="E305" s="4" t="str">
        <f>IFERROR(VLOOKUP($A305&amp;$E288,DATA!$F$1:$G$500,MATCH("FULL IN",DATA!$F$1:$G$1,0),0),$E288)</f>
        <v/>
      </c>
      <c r="F305" s="2" t="str">
        <f t="shared" si="52"/>
        <v/>
      </c>
      <c r="G305" s="2" t="str">
        <f>IFERROR(VLOOKUP(E305,[1]FINAL!$A$2:$M$699,MATCH("Team",[1]FINAL!$A$1:$K$1,0),0),"")</f>
        <v/>
      </c>
      <c r="I305" s="4" t="str">
        <f>IFERROR(VLOOKUP($A305&amp;$E288,DATA!$F$1:$H$500,MATCH("FULL OUT",DATA!$F$1:$H$1,0),0),"")</f>
        <v/>
      </c>
    </row>
    <row r="306" spans="1:9" x14ac:dyDescent="0.25">
      <c r="A306" s="6" t="str">
        <f t="shared" si="51"/>
        <v>GW18</v>
      </c>
      <c r="B306" s="7">
        <v>13</v>
      </c>
      <c r="C306" s="7" t="str">
        <f t="shared" si="50"/>
        <v>GW18-13</v>
      </c>
      <c r="D306" s="1" t="str">
        <f>IFERROR(VLOOKUP(E306,[1]FINAL!$A$2:$J$699,MATCH("Pos",[1]FINAL!$A$1:$J$1,0),0),"")</f>
        <v/>
      </c>
      <c r="E306" s="4" t="str">
        <f>IFERROR(VLOOKUP($A306&amp;$E289,DATA!$F$1:$G$500,MATCH("FULL IN",DATA!$F$1:$G$1,0),0),$E289)</f>
        <v/>
      </c>
      <c r="F306" s="2" t="str">
        <f t="shared" si="52"/>
        <v/>
      </c>
      <c r="G306" s="2" t="str">
        <f>IFERROR(VLOOKUP(E306,[1]FINAL!$A$2:$M$699,MATCH("Team",[1]FINAL!$A$1:$K$1,0),0),"")</f>
        <v/>
      </c>
      <c r="I306" s="4" t="str">
        <f>IFERROR(VLOOKUP($A306&amp;$E289,DATA!$F$1:$H$500,MATCH("FULL OUT",DATA!$F$1:$H$1,0),0),"")</f>
        <v/>
      </c>
    </row>
    <row r="307" spans="1:9" x14ac:dyDescent="0.25">
      <c r="A307" s="6" t="str">
        <f t="shared" si="51"/>
        <v>GW18</v>
      </c>
      <c r="B307" s="7">
        <v>14</v>
      </c>
      <c r="C307" s="7" t="str">
        <f t="shared" si="50"/>
        <v>GW18-14</v>
      </c>
      <c r="D307" s="1" t="str">
        <f>IFERROR(VLOOKUP(E307,[1]FINAL!$A$2:$J$699,MATCH("Pos",[1]FINAL!$A$1:$J$1,0),0),"")</f>
        <v/>
      </c>
      <c r="E307" s="4" t="str">
        <f>IFERROR(VLOOKUP($A307&amp;$E290,DATA!$F$1:$G$500,MATCH("FULL IN",DATA!$F$1:$G$1,0),0),$E290)</f>
        <v/>
      </c>
      <c r="F307" s="2" t="str">
        <f t="shared" si="52"/>
        <v/>
      </c>
      <c r="G307" s="2" t="str">
        <f>IFERROR(VLOOKUP(E307,[1]FINAL!$A$2:$M$699,MATCH("Team",[1]FINAL!$A$1:$K$1,0),0),"")</f>
        <v/>
      </c>
      <c r="I307" s="4" t="str">
        <f>IFERROR(VLOOKUP($A307&amp;$E290,DATA!$F$1:$H$500,MATCH("FULL OUT",DATA!$F$1:$H$1,0),0),"")</f>
        <v/>
      </c>
    </row>
    <row r="308" spans="1:9" x14ac:dyDescent="0.25">
      <c r="A308" s="6" t="str">
        <f t="shared" si="51"/>
        <v>GW18</v>
      </c>
      <c r="B308" s="7">
        <v>15</v>
      </c>
      <c r="C308" s="7" t="str">
        <f t="shared" si="50"/>
        <v>GW18-15</v>
      </c>
      <c r="D308" s="1" t="str">
        <f>IFERROR(VLOOKUP(E308,[1]FINAL!$A$2:$J$699,MATCH("Pos",[1]FINAL!$A$1:$J$1,0),0),"")</f>
        <v/>
      </c>
      <c r="E308" s="4" t="str">
        <f>IFERROR(VLOOKUP($A308&amp;$E291,DATA!$F$1:$G$500,MATCH("FULL IN",DATA!$F$1:$G$1,0),0),$E291)</f>
        <v/>
      </c>
      <c r="F308" s="2" t="str">
        <f t="shared" si="52"/>
        <v/>
      </c>
      <c r="G308" s="2" t="str">
        <f>IFERROR(VLOOKUP(E308,[1]FINAL!$A$2:$M$699,MATCH("Team",[1]FINAL!$A$1:$K$1,0),0),"")</f>
        <v/>
      </c>
      <c r="I308" s="4" t="str">
        <f>IFERROR(VLOOKUP($A308&amp;$E291,DATA!$F$1:$H$500,MATCH("FULL OUT",DATA!$F$1:$H$1,0),0),"")</f>
        <v/>
      </c>
    </row>
    <row r="311" spans="1:9" x14ac:dyDescent="0.25">
      <c r="A311" s="6" t="s">
        <v>21</v>
      </c>
      <c r="B311" s="7">
        <v>1</v>
      </c>
      <c r="C311" s="7" t="str">
        <f>A311&amp;-B311</f>
        <v>GW19-1</v>
      </c>
      <c r="D311" s="1" t="str">
        <f>IFERROR(VLOOKUP(E311,[1]FINAL!$A$2:$J$699,MATCH("Pos",[1]FINAL!$A$1:$J$1,0),0),"")</f>
        <v/>
      </c>
      <c r="E311" s="4" t="str">
        <f>IFERROR(VLOOKUP($A311&amp;$E294,DATA!$F$1:$G$500,MATCH("FULL IN",DATA!$F$1:$G$1,0),0),$E294)</f>
        <v>Player Name</v>
      </c>
      <c r="G311" s="2" t="str">
        <f>IFERROR(VLOOKUP(E311,[1]FINAL!$A$2:$M$699,MATCH("Team",[1]FINAL!$A$1:$K$1,0),0),"")</f>
        <v/>
      </c>
      <c r="I311" s="4" t="str">
        <f>IFERROR(VLOOKUP($A311&amp;$E294,DATA!$F$1:$H$500,MATCH("FULL OUT",DATA!$F$1:$H$1,0),0),"")</f>
        <v/>
      </c>
    </row>
    <row r="312" spans="1:9" x14ac:dyDescent="0.25">
      <c r="A312" s="6" t="str">
        <f>A311</f>
        <v>GW19</v>
      </c>
      <c r="B312" s="7">
        <v>2</v>
      </c>
      <c r="C312" s="7" t="str">
        <f t="shared" ref="C312:C325" si="53">A312&amp;-B312</f>
        <v>GW19-2</v>
      </c>
      <c r="D312" s="1" t="str">
        <f>IFERROR(VLOOKUP(E312,[1]FINAL!$A$2:$J$699,MATCH("Pos",[1]FINAL!$A$1:$J$1,0),0),"")</f>
        <v/>
      </c>
      <c r="E312" s="4" t="str">
        <f>IFERROR(VLOOKUP($A312&amp;$E295,DATA!$F$1:$G$500,MATCH("FULL IN",DATA!$F$1:$G$1,0),0),$E295)</f>
        <v/>
      </c>
      <c r="F312" s="2" t="str">
        <f>IF(Z312="","","IN")</f>
        <v/>
      </c>
      <c r="G312" s="2" t="str">
        <f>IFERROR(VLOOKUP(E312,[1]FINAL!$A$2:$M$699,MATCH("Team",[1]FINAL!$A$1:$K$1,0),0),"")</f>
        <v/>
      </c>
      <c r="I312" s="4" t="str">
        <f>IFERROR(VLOOKUP($A312&amp;$E295,DATA!$F$1:$H$500,MATCH("FULL OUT",DATA!$F$1:$H$1,0),0),"")</f>
        <v/>
      </c>
    </row>
    <row r="313" spans="1:9" x14ac:dyDescent="0.25">
      <c r="A313" s="6" t="str">
        <f t="shared" ref="A313:A325" si="54">A312</f>
        <v>GW19</v>
      </c>
      <c r="B313" s="7">
        <v>3</v>
      </c>
      <c r="C313" s="7" t="str">
        <f t="shared" si="53"/>
        <v>GW19-3</v>
      </c>
      <c r="D313" s="1" t="str">
        <f>IFERROR(VLOOKUP(E313,[1]FINAL!$A$2:$J$699,MATCH("Pos",[1]FINAL!$A$1:$J$1,0),0),"")</f>
        <v/>
      </c>
      <c r="E313" s="4" t="str">
        <f>IFERROR(VLOOKUP($A313&amp;$E296,DATA!$F$1:$G$500,MATCH("FULL IN",DATA!$F$1:$G$1,0),0),$E296)</f>
        <v/>
      </c>
      <c r="F313" s="2" t="str">
        <f t="shared" ref="F313:F325" si="55">IF(Z313="","","IN")</f>
        <v/>
      </c>
      <c r="G313" s="2" t="str">
        <f>IFERROR(VLOOKUP(E313,[1]FINAL!$A$2:$M$699,MATCH("Team",[1]FINAL!$A$1:$K$1,0),0),"")</f>
        <v/>
      </c>
      <c r="I313" s="4" t="str">
        <f>IFERROR(VLOOKUP($A313&amp;$E296,DATA!$F$1:$H$500,MATCH("FULL OUT",DATA!$F$1:$H$1,0),0),"")</f>
        <v/>
      </c>
    </row>
    <row r="314" spans="1:9" x14ac:dyDescent="0.25">
      <c r="A314" s="6" t="str">
        <f t="shared" si="54"/>
        <v>GW19</v>
      </c>
      <c r="B314" s="7">
        <v>4</v>
      </c>
      <c r="C314" s="7" t="str">
        <f t="shared" si="53"/>
        <v>GW19-4</v>
      </c>
      <c r="D314" s="1" t="str">
        <f>IFERROR(VLOOKUP(E314,[1]FINAL!$A$2:$J$699,MATCH("Pos",[1]FINAL!$A$1:$J$1,0),0),"")</f>
        <v/>
      </c>
      <c r="E314" s="4" t="str">
        <f>IFERROR(VLOOKUP($A314&amp;$E297,DATA!$F$1:$G$500,MATCH("FULL IN",DATA!$F$1:$G$1,0),0),$E297)</f>
        <v/>
      </c>
      <c r="F314" s="2" t="str">
        <f t="shared" si="55"/>
        <v/>
      </c>
      <c r="G314" s="2" t="str">
        <f>IFERROR(VLOOKUP(E314,[1]FINAL!$A$2:$M$699,MATCH("Team",[1]FINAL!$A$1:$K$1,0),0),"")</f>
        <v/>
      </c>
      <c r="I314" s="4" t="str">
        <f>IFERROR(VLOOKUP($A314&amp;$E297,DATA!$F$1:$H$500,MATCH("FULL OUT",DATA!$F$1:$H$1,0),0),"")</f>
        <v/>
      </c>
    </row>
    <row r="315" spans="1:9" x14ac:dyDescent="0.25">
      <c r="A315" s="6" t="str">
        <f t="shared" si="54"/>
        <v>GW19</v>
      </c>
      <c r="B315" s="7">
        <v>5</v>
      </c>
      <c r="C315" s="7" t="str">
        <f t="shared" si="53"/>
        <v>GW19-5</v>
      </c>
      <c r="D315" s="1" t="str">
        <f>IFERROR(VLOOKUP(E315,[1]FINAL!$A$2:$J$699,MATCH("Pos",[1]FINAL!$A$1:$J$1,0),0),"")</f>
        <v/>
      </c>
      <c r="E315" s="4" t="str">
        <f>IFERROR(VLOOKUP($A315&amp;$E298,DATA!$F$1:$G$500,MATCH("FULL IN",DATA!$F$1:$G$1,0),0),$E298)</f>
        <v/>
      </c>
      <c r="F315" s="2" t="str">
        <f t="shared" si="55"/>
        <v/>
      </c>
      <c r="G315" s="2" t="str">
        <f>IFERROR(VLOOKUP(E315,[1]FINAL!$A$2:$M$699,MATCH("Team",[1]FINAL!$A$1:$K$1,0),0),"")</f>
        <v/>
      </c>
      <c r="I315" s="4" t="str">
        <f>IFERROR(VLOOKUP($A315&amp;$E298,DATA!$F$1:$H$500,MATCH("FULL OUT",DATA!$F$1:$H$1,0),0),"")</f>
        <v/>
      </c>
    </row>
    <row r="316" spans="1:9" x14ac:dyDescent="0.25">
      <c r="A316" s="6" t="str">
        <f t="shared" si="54"/>
        <v>GW19</v>
      </c>
      <c r="B316" s="7">
        <v>6</v>
      </c>
      <c r="C316" s="7" t="str">
        <f t="shared" si="53"/>
        <v>GW19-6</v>
      </c>
      <c r="D316" s="1" t="str">
        <f>IFERROR(VLOOKUP(E316,[1]FINAL!$A$2:$J$699,MATCH("Pos",[1]FINAL!$A$1:$J$1,0),0),"")</f>
        <v/>
      </c>
      <c r="E316" s="4" t="str">
        <f>IFERROR(VLOOKUP($A316&amp;$E299,DATA!$F$1:$G$500,MATCH("FULL IN",DATA!$F$1:$G$1,0),0),$E299)</f>
        <v/>
      </c>
      <c r="F316" s="2" t="str">
        <f t="shared" si="55"/>
        <v/>
      </c>
      <c r="G316" s="2" t="str">
        <f>IFERROR(VLOOKUP(E316,[1]FINAL!$A$2:$M$699,MATCH("Team",[1]FINAL!$A$1:$K$1,0),0),"")</f>
        <v/>
      </c>
      <c r="I316" s="4" t="str">
        <f>IFERROR(VLOOKUP($A316&amp;$E299,DATA!$F$1:$H$500,MATCH("FULL OUT",DATA!$F$1:$H$1,0),0),"")</f>
        <v/>
      </c>
    </row>
    <row r="317" spans="1:9" x14ac:dyDescent="0.25">
      <c r="A317" s="6" t="str">
        <f t="shared" si="54"/>
        <v>GW19</v>
      </c>
      <c r="B317" s="7">
        <v>7</v>
      </c>
      <c r="C317" s="7" t="str">
        <f t="shared" si="53"/>
        <v>GW19-7</v>
      </c>
      <c r="D317" s="1" t="str">
        <f>IFERROR(VLOOKUP(E317,[1]FINAL!$A$2:$J$699,MATCH("Pos",[1]FINAL!$A$1:$J$1,0),0),"")</f>
        <v/>
      </c>
      <c r="E317" s="4" t="str">
        <f>IFERROR(VLOOKUP($A317&amp;$E300,DATA!$F$1:$G$500,MATCH("FULL IN",DATA!$F$1:$G$1,0),0),$E300)</f>
        <v/>
      </c>
      <c r="F317" s="2" t="str">
        <f t="shared" si="55"/>
        <v/>
      </c>
      <c r="G317" s="2" t="str">
        <f>IFERROR(VLOOKUP(E317,[1]FINAL!$A$2:$M$699,MATCH("Team",[1]FINAL!$A$1:$K$1,0),0),"")</f>
        <v/>
      </c>
      <c r="I317" s="4" t="str">
        <f>IFERROR(VLOOKUP($A317&amp;$E300,DATA!$F$1:$H$500,MATCH("FULL OUT",DATA!$F$1:$H$1,0),0),"")</f>
        <v/>
      </c>
    </row>
    <row r="318" spans="1:9" x14ac:dyDescent="0.25">
      <c r="A318" s="6" t="str">
        <f t="shared" si="54"/>
        <v>GW19</v>
      </c>
      <c r="B318" s="7">
        <v>8</v>
      </c>
      <c r="C318" s="7" t="str">
        <f t="shared" si="53"/>
        <v>GW19-8</v>
      </c>
      <c r="D318" s="1" t="str">
        <f>IFERROR(VLOOKUP(E318,[1]FINAL!$A$2:$J$699,MATCH("Pos",[1]FINAL!$A$1:$J$1,0),0),"")</f>
        <v/>
      </c>
      <c r="E318" s="4" t="str">
        <f>IFERROR(VLOOKUP($A318&amp;$E301,DATA!$F$1:$G$500,MATCH("FULL IN",DATA!$F$1:$G$1,0),0),$E301)</f>
        <v/>
      </c>
      <c r="F318" s="2" t="str">
        <f t="shared" si="55"/>
        <v/>
      </c>
      <c r="G318" s="2" t="str">
        <f>IFERROR(VLOOKUP(E318,[1]FINAL!$A$2:$M$699,MATCH("Team",[1]FINAL!$A$1:$K$1,0),0),"")</f>
        <v/>
      </c>
      <c r="I318" s="4" t="str">
        <f>IFERROR(VLOOKUP($A318&amp;$E301,DATA!$F$1:$H$500,MATCH("FULL OUT",DATA!$F$1:$H$1,0),0),"")</f>
        <v/>
      </c>
    </row>
    <row r="319" spans="1:9" x14ac:dyDescent="0.25">
      <c r="A319" s="6" t="str">
        <f t="shared" si="54"/>
        <v>GW19</v>
      </c>
      <c r="B319" s="7">
        <v>9</v>
      </c>
      <c r="C319" s="7" t="str">
        <f t="shared" si="53"/>
        <v>GW19-9</v>
      </c>
      <c r="D319" s="1" t="str">
        <f>IFERROR(VLOOKUP(E319,[1]FINAL!$A$2:$J$699,MATCH("Pos",[1]FINAL!$A$1:$J$1,0),0),"")</f>
        <v/>
      </c>
      <c r="E319" s="4" t="str">
        <f>IFERROR(VLOOKUP($A319&amp;$E302,DATA!$F$1:$G$500,MATCH("FULL IN",DATA!$F$1:$G$1,0),0),$E302)</f>
        <v/>
      </c>
      <c r="F319" s="2" t="str">
        <f t="shared" si="55"/>
        <v/>
      </c>
      <c r="G319" s="2" t="str">
        <f>IFERROR(VLOOKUP(E319,[1]FINAL!$A$2:$M$699,MATCH("Team",[1]FINAL!$A$1:$K$1,0),0),"")</f>
        <v/>
      </c>
      <c r="I319" s="4" t="str">
        <f>IFERROR(VLOOKUP($A319&amp;$E302,DATA!$F$1:$H$500,MATCH("FULL OUT",DATA!$F$1:$H$1,0),0),"")</f>
        <v/>
      </c>
    </row>
    <row r="320" spans="1:9" x14ac:dyDescent="0.25">
      <c r="A320" s="6" t="str">
        <f t="shared" si="54"/>
        <v>GW19</v>
      </c>
      <c r="B320" s="7">
        <v>10</v>
      </c>
      <c r="C320" s="7" t="str">
        <f t="shared" si="53"/>
        <v>GW19-10</v>
      </c>
      <c r="D320" s="1" t="str">
        <f>IFERROR(VLOOKUP(E320,[1]FINAL!$A$2:$J$699,MATCH("Pos",[1]FINAL!$A$1:$J$1,0),0),"")</f>
        <v/>
      </c>
      <c r="E320" s="4" t="str">
        <f>IFERROR(VLOOKUP($A320&amp;$E303,DATA!$F$1:$G$500,MATCH("FULL IN",DATA!$F$1:$G$1,0),0),$E303)</f>
        <v/>
      </c>
      <c r="F320" s="2" t="str">
        <f t="shared" si="55"/>
        <v/>
      </c>
      <c r="G320" s="2" t="str">
        <f>IFERROR(VLOOKUP(E320,[1]FINAL!$A$2:$M$699,MATCH("Team",[1]FINAL!$A$1:$K$1,0),0),"")</f>
        <v/>
      </c>
      <c r="I320" s="4" t="str">
        <f>IFERROR(VLOOKUP($A320&amp;$E303,DATA!$F$1:$H$500,MATCH("FULL OUT",DATA!$F$1:$H$1,0),0),"")</f>
        <v/>
      </c>
    </row>
    <row r="321" spans="1:9" x14ac:dyDescent="0.25">
      <c r="A321" s="6" t="str">
        <f t="shared" si="54"/>
        <v>GW19</v>
      </c>
      <c r="B321" s="7">
        <v>11</v>
      </c>
      <c r="C321" s="7" t="str">
        <f t="shared" si="53"/>
        <v>GW19-11</v>
      </c>
      <c r="D321" s="1" t="str">
        <f>IFERROR(VLOOKUP(E321,[1]FINAL!$A$2:$J$699,MATCH("Pos",[1]FINAL!$A$1:$J$1,0),0),"")</f>
        <v/>
      </c>
      <c r="E321" s="4" t="str">
        <f>IFERROR(VLOOKUP($A321&amp;$E304,DATA!$F$1:$G$500,MATCH("FULL IN",DATA!$F$1:$G$1,0),0),$E304)</f>
        <v/>
      </c>
      <c r="F321" s="2" t="str">
        <f t="shared" si="55"/>
        <v/>
      </c>
      <c r="G321" s="2" t="str">
        <f>IFERROR(VLOOKUP(E321,[1]FINAL!$A$2:$M$699,MATCH("Team",[1]FINAL!$A$1:$K$1,0),0),"")</f>
        <v/>
      </c>
      <c r="I321" s="4" t="str">
        <f>IFERROR(VLOOKUP($A321&amp;$E304,DATA!$F$1:$H$500,MATCH("FULL OUT",DATA!$F$1:$H$1,0),0),"")</f>
        <v/>
      </c>
    </row>
    <row r="322" spans="1:9" x14ac:dyDescent="0.25">
      <c r="A322" s="6" t="str">
        <f t="shared" si="54"/>
        <v>GW19</v>
      </c>
      <c r="B322" s="7">
        <v>12</v>
      </c>
      <c r="C322" s="7" t="str">
        <f t="shared" si="53"/>
        <v>GW19-12</v>
      </c>
      <c r="D322" s="1" t="str">
        <f>IFERROR(VLOOKUP(E322,[1]FINAL!$A$2:$J$699,MATCH("Pos",[1]FINAL!$A$1:$J$1,0),0),"")</f>
        <v/>
      </c>
      <c r="E322" s="4" t="str">
        <f>IFERROR(VLOOKUP($A322&amp;$E305,DATA!$F$1:$G$500,MATCH("FULL IN",DATA!$F$1:$G$1,0),0),$E305)</f>
        <v/>
      </c>
      <c r="F322" s="2" t="str">
        <f t="shared" si="55"/>
        <v/>
      </c>
      <c r="G322" s="2" t="str">
        <f>IFERROR(VLOOKUP(E322,[1]FINAL!$A$2:$M$699,MATCH("Team",[1]FINAL!$A$1:$K$1,0),0),"")</f>
        <v/>
      </c>
      <c r="I322" s="4" t="str">
        <f>IFERROR(VLOOKUP($A322&amp;$E305,DATA!$F$1:$H$500,MATCH("FULL OUT",DATA!$F$1:$H$1,0),0),"")</f>
        <v/>
      </c>
    </row>
    <row r="323" spans="1:9" x14ac:dyDescent="0.25">
      <c r="A323" s="6" t="str">
        <f t="shared" si="54"/>
        <v>GW19</v>
      </c>
      <c r="B323" s="7">
        <v>13</v>
      </c>
      <c r="C323" s="7" t="str">
        <f t="shared" si="53"/>
        <v>GW19-13</v>
      </c>
      <c r="D323" s="1" t="str">
        <f>IFERROR(VLOOKUP(E323,[1]FINAL!$A$2:$J$699,MATCH("Pos",[1]FINAL!$A$1:$J$1,0),0),"")</f>
        <v/>
      </c>
      <c r="E323" s="4" t="str">
        <f>IFERROR(VLOOKUP($A323&amp;$E306,DATA!$F$1:$G$500,MATCH("FULL IN",DATA!$F$1:$G$1,0),0),$E306)</f>
        <v/>
      </c>
      <c r="F323" s="2" t="str">
        <f t="shared" si="55"/>
        <v/>
      </c>
      <c r="G323" s="2" t="str">
        <f>IFERROR(VLOOKUP(E323,[1]FINAL!$A$2:$M$699,MATCH("Team",[1]FINAL!$A$1:$K$1,0),0),"")</f>
        <v/>
      </c>
      <c r="I323" s="4" t="str">
        <f>IFERROR(VLOOKUP($A323&amp;$E306,DATA!$F$1:$H$500,MATCH("FULL OUT",DATA!$F$1:$H$1,0),0),"")</f>
        <v/>
      </c>
    </row>
    <row r="324" spans="1:9" x14ac:dyDescent="0.25">
      <c r="A324" s="6" t="str">
        <f t="shared" si="54"/>
        <v>GW19</v>
      </c>
      <c r="B324" s="7">
        <v>14</v>
      </c>
      <c r="C324" s="7" t="str">
        <f t="shared" si="53"/>
        <v>GW19-14</v>
      </c>
      <c r="D324" s="1" t="str">
        <f>IFERROR(VLOOKUP(E324,[1]FINAL!$A$2:$J$699,MATCH("Pos",[1]FINAL!$A$1:$J$1,0),0),"")</f>
        <v/>
      </c>
      <c r="E324" s="4" t="str">
        <f>IFERROR(VLOOKUP($A324&amp;$E307,DATA!$F$1:$G$500,MATCH("FULL IN",DATA!$F$1:$G$1,0),0),$E307)</f>
        <v/>
      </c>
      <c r="F324" s="2" t="str">
        <f t="shared" si="55"/>
        <v/>
      </c>
      <c r="G324" s="2" t="str">
        <f>IFERROR(VLOOKUP(E324,[1]FINAL!$A$2:$M$699,MATCH("Team",[1]FINAL!$A$1:$K$1,0),0),"")</f>
        <v/>
      </c>
      <c r="I324" s="4" t="str">
        <f>IFERROR(VLOOKUP($A324&amp;$E307,DATA!$F$1:$H$500,MATCH("FULL OUT",DATA!$F$1:$H$1,0),0),"")</f>
        <v/>
      </c>
    </row>
    <row r="325" spans="1:9" x14ac:dyDescent="0.25">
      <c r="A325" s="6" t="str">
        <f t="shared" si="54"/>
        <v>GW19</v>
      </c>
      <c r="B325" s="7">
        <v>15</v>
      </c>
      <c r="C325" s="7" t="str">
        <f t="shared" si="53"/>
        <v>GW19-15</v>
      </c>
      <c r="D325" s="1" t="str">
        <f>IFERROR(VLOOKUP(E325,[1]FINAL!$A$2:$J$699,MATCH("Pos",[1]FINAL!$A$1:$J$1,0),0),"")</f>
        <v/>
      </c>
      <c r="E325" s="4" t="str">
        <f>IFERROR(VLOOKUP($A325&amp;$E308,DATA!$F$1:$G$500,MATCH("FULL IN",DATA!$F$1:$G$1,0),0),$E308)</f>
        <v/>
      </c>
      <c r="F325" s="2" t="str">
        <f t="shared" si="55"/>
        <v/>
      </c>
      <c r="G325" s="2" t="str">
        <f>IFERROR(VLOOKUP(E325,[1]FINAL!$A$2:$M$699,MATCH("Team",[1]FINAL!$A$1:$K$1,0),0),"")</f>
        <v/>
      </c>
      <c r="I325" s="4" t="str">
        <f>IFERROR(VLOOKUP($A325&amp;$E308,DATA!$F$1:$H$500,MATCH("FULL OUT",DATA!$F$1:$H$1,0),0),"")</f>
        <v/>
      </c>
    </row>
    <row r="328" spans="1:9" x14ac:dyDescent="0.25">
      <c r="A328" s="6" t="s">
        <v>22</v>
      </c>
      <c r="B328" s="7">
        <v>1</v>
      </c>
      <c r="C328" s="7" t="str">
        <f>A328&amp;-B328</f>
        <v>GW20-1</v>
      </c>
      <c r="D328" s="1" t="str">
        <f>IFERROR(VLOOKUP(E328,[1]FINAL!$A$2:$J$699,MATCH("Pos",[1]FINAL!$A$1:$J$1,0),0),"")</f>
        <v/>
      </c>
      <c r="E328" s="4" t="str">
        <f>IFERROR(VLOOKUP($A328&amp;$E311,DATA!$F$1:$G$500,MATCH("FULL IN",DATA!$F$1:$G$1,0),0),$E311)</f>
        <v>Player Name</v>
      </c>
      <c r="G328" s="2" t="str">
        <f>IFERROR(VLOOKUP(E328,[1]FINAL!$A$2:$M$699,MATCH("Team",[1]FINAL!$A$1:$K$1,0),0),"")</f>
        <v/>
      </c>
      <c r="I328" s="4" t="str">
        <f>IFERROR(VLOOKUP($A328&amp;$E311,DATA!$F$1:$H$500,MATCH("FULL OUT",DATA!$F$1:$H$1,0),0),"")</f>
        <v/>
      </c>
    </row>
    <row r="329" spans="1:9" x14ac:dyDescent="0.25">
      <c r="A329" s="6" t="str">
        <f>A328</f>
        <v>GW20</v>
      </c>
      <c r="B329" s="7">
        <v>2</v>
      </c>
      <c r="C329" s="7" t="str">
        <f t="shared" ref="C329:C342" si="56">A329&amp;-B329</f>
        <v>GW20-2</v>
      </c>
      <c r="D329" s="1" t="str">
        <f>IFERROR(VLOOKUP(E329,[1]FINAL!$A$2:$J$699,MATCH("Pos",[1]FINAL!$A$1:$J$1,0),0),"")</f>
        <v/>
      </c>
      <c r="E329" s="4" t="str">
        <f>IFERROR(VLOOKUP($A329&amp;$E312,DATA!$F$1:$G$500,MATCH("FULL IN",DATA!$F$1:$G$1,0),0),$E312)</f>
        <v/>
      </c>
      <c r="F329" s="2" t="str">
        <f>IF(Z329="","","IN")</f>
        <v/>
      </c>
      <c r="G329" s="2" t="str">
        <f>IFERROR(VLOOKUP(E329,[1]FINAL!$A$2:$M$699,MATCH("Team",[1]FINAL!$A$1:$K$1,0),0),"")</f>
        <v/>
      </c>
      <c r="I329" s="4" t="str">
        <f>IFERROR(VLOOKUP($A329&amp;$E312,DATA!$F$1:$H$500,MATCH("FULL OUT",DATA!$F$1:$H$1,0),0),"")</f>
        <v/>
      </c>
    </row>
    <row r="330" spans="1:9" x14ac:dyDescent="0.25">
      <c r="A330" s="6" t="str">
        <f t="shared" ref="A330:A342" si="57">A329</f>
        <v>GW20</v>
      </c>
      <c r="B330" s="7">
        <v>3</v>
      </c>
      <c r="C330" s="7" t="str">
        <f t="shared" si="56"/>
        <v>GW20-3</v>
      </c>
      <c r="D330" s="1" t="str">
        <f>IFERROR(VLOOKUP(E330,[1]FINAL!$A$2:$J$699,MATCH("Pos",[1]FINAL!$A$1:$J$1,0),0),"")</f>
        <v/>
      </c>
      <c r="E330" s="4" t="str">
        <f>IFERROR(VLOOKUP($A330&amp;$E313,DATA!$F$1:$G$500,MATCH("FULL IN",DATA!$F$1:$G$1,0),0),$E313)</f>
        <v/>
      </c>
      <c r="F330" s="2" t="str">
        <f t="shared" ref="F330:F342" si="58">IF(Z330="","","IN")</f>
        <v/>
      </c>
      <c r="G330" s="2" t="str">
        <f>IFERROR(VLOOKUP(E330,[1]FINAL!$A$2:$M$699,MATCH("Team",[1]FINAL!$A$1:$K$1,0),0),"")</f>
        <v/>
      </c>
      <c r="I330" s="4" t="str">
        <f>IFERROR(VLOOKUP($A330&amp;$E313,DATA!$F$1:$H$500,MATCH("FULL OUT",DATA!$F$1:$H$1,0),0),"")</f>
        <v/>
      </c>
    </row>
    <row r="331" spans="1:9" x14ac:dyDescent="0.25">
      <c r="A331" s="6" t="str">
        <f t="shared" si="57"/>
        <v>GW20</v>
      </c>
      <c r="B331" s="7">
        <v>4</v>
      </c>
      <c r="C331" s="7" t="str">
        <f t="shared" si="56"/>
        <v>GW20-4</v>
      </c>
      <c r="D331" s="1" t="str">
        <f>IFERROR(VLOOKUP(E331,[1]FINAL!$A$2:$J$699,MATCH("Pos",[1]FINAL!$A$1:$J$1,0),0),"")</f>
        <v/>
      </c>
      <c r="E331" s="4" t="str">
        <f>IFERROR(VLOOKUP($A331&amp;$E314,DATA!$F$1:$G$500,MATCH("FULL IN",DATA!$F$1:$G$1,0),0),$E314)</f>
        <v/>
      </c>
      <c r="F331" s="2" t="str">
        <f t="shared" si="58"/>
        <v/>
      </c>
      <c r="G331" s="2" t="str">
        <f>IFERROR(VLOOKUP(E331,[1]FINAL!$A$2:$M$699,MATCH("Team",[1]FINAL!$A$1:$K$1,0),0),"")</f>
        <v/>
      </c>
      <c r="I331" s="4" t="str">
        <f>IFERROR(VLOOKUP($A331&amp;$E314,DATA!$F$1:$H$500,MATCH("FULL OUT",DATA!$F$1:$H$1,0),0),"")</f>
        <v/>
      </c>
    </row>
    <row r="332" spans="1:9" x14ac:dyDescent="0.25">
      <c r="A332" s="6" t="str">
        <f t="shared" si="57"/>
        <v>GW20</v>
      </c>
      <c r="B332" s="7">
        <v>5</v>
      </c>
      <c r="C332" s="7" t="str">
        <f t="shared" si="56"/>
        <v>GW20-5</v>
      </c>
      <c r="D332" s="1" t="str">
        <f>IFERROR(VLOOKUP(E332,[1]FINAL!$A$2:$J$699,MATCH("Pos",[1]FINAL!$A$1:$J$1,0),0),"")</f>
        <v/>
      </c>
      <c r="E332" s="4" t="str">
        <f>IFERROR(VLOOKUP($A332&amp;$E315,DATA!$F$1:$G$500,MATCH("FULL IN",DATA!$F$1:$G$1,0),0),$E315)</f>
        <v/>
      </c>
      <c r="F332" s="2" t="str">
        <f t="shared" si="58"/>
        <v/>
      </c>
      <c r="G332" s="2" t="str">
        <f>IFERROR(VLOOKUP(E332,[1]FINAL!$A$2:$M$699,MATCH("Team",[1]FINAL!$A$1:$K$1,0),0),"")</f>
        <v/>
      </c>
      <c r="I332" s="4" t="str">
        <f>IFERROR(VLOOKUP($A332&amp;$E315,DATA!$F$1:$H$500,MATCH("FULL OUT",DATA!$F$1:$H$1,0),0),"")</f>
        <v/>
      </c>
    </row>
    <row r="333" spans="1:9" x14ac:dyDescent="0.25">
      <c r="A333" s="6" t="str">
        <f t="shared" si="57"/>
        <v>GW20</v>
      </c>
      <c r="B333" s="7">
        <v>6</v>
      </c>
      <c r="C333" s="7" t="str">
        <f t="shared" si="56"/>
        <v>GW20-6</v>
      </c>
      <c r="D333" s="1" t="str">
        <f>IFERROR(VLOOKUP(E333,[1]FINAL!$A$2:$J$699,MATCH("Pos",[1]FINAL!$A$1:$J$1,0),0),"")</f>
        <v/>
      </c>
      <c r="E333" s="4" t="str">
        <f>IFERROR(VLOOKUP($A333&amp;$E316,DATA!$F$1:$G$500,MATCH("FULL IN",DATA!$F$1:$G$1,0),0),$E316)</f>
        <v/>
      </c>
      <c r="F333" s="2" t="str">
        <f t="shared" si="58"/>
        <v/>
      </c>
      <c r="G333" s="2" t="str">
        <f>IFERROR(VLOOKUP(E333,[1]FINAL!$A$2:$M$699,MATCH("Team",[1]FINAL!$A$1:$K$1,0),0),"")</f>
        <v/>
      </c>
      <c r="I333" s="4" t="str">
        <f>IFERROR(VLOOKUP($A333&amp;$E316,DATA!$F$1:$H$500,MATCH("FULL OUT",DATA!$F$1:$H$1,0),0),"")</f>
        <v/>
      </c>
    </row>
    <row r="334" spans="1:9" x14ac:dyDescent="0.25">
      <c r="A334" s="6" t="str">
        <f t="shared" si="57"/>
        <v>GW20</v>
      </c>
      <c r="B334" s="7">
        <v>7</v>
      </c>
      <c r="C334" s="7" t="str">
        <f t="shared" si="56"/>
        <v>GW20-7</v>
      </c>
      <c r="D334" s="1" t="str">
        <f>IFERROR(VLOOKUP(E334,[1]FINAL!$A$2:$J$699,MATCH("Pos",[1]FINAL!$A$1:$J$1,0),0),"")</f>
        <v/>
      </c>
      <c r="E334" s="4" t="str">
        <f>IFERROR(VLOOKUP($A334&amp;$E317,DATA!$F$1:$G$500,MATCH("FULL IN",DATA!$F$1:$G$1,0),0),$E317)</f>
        <v/>
      </c>
      <c r="F334" s="2" t="str">
        <f t="shared" si="58"/>
        <v/>
      </c>
      <c r="G334" s="2" t="str">
        <f>IFERROR(VLOOKUP(E334,[1]FINAL!$A$2:$M$699,MATCH("Team",[1]FINAL!$A$1:$K$1,0),0),"")</f>
        <v/>
      </c>
      <c r="I334" s="4" t="str">
        <f>IFERROR(VLOOKUP($A334&amp;$E317,DATA!$F$1:$H$500,MATCH("FULL OUT",DATA!$F$1:$H$1,0),0),"")</f>
        <v/>
      </c>
    </row>
    <row r="335" spans="1:9" x14ac:dyDescent="0.25">
      <c r="A335" s="6" t="str">
        <f t="shared" si="57"/>
        <v>GW20</v>
      </c>
      <c r="B335" s="7">
        <v>8</v>
      </c>
      <c r="C335" s="7" t="str">
        <f t="shared" si="56"/>
        <v>GW20-8</v>
      </c>
      <c r="D335" s="1" t="str">
        <f>IFERROR(VLOOKUP(E335,[1]FINAL!$A$2:$J$699,MATCH("Pos",[1]FINAL!$A$1:$J$1,0),0),"")</f>
        <v/>
      </c>
      <c r="E335" s="4" t="str">
        <f>IFERROR(VLOOKUP($A335&amp;$E318,DATA!$F$1:$G$500,MATCH("FULL IN",DATA!$F$1:$G$1,0),0),$E318)</f>
        <v/>
      </c>
      <c r="F335" s="2" t="str">
        <f t="shared" si="58"/>
        <v/>
      </c>
      <c r="G335" s="2" t="str">
        <f>IFERROR(VLOOKUP(E335,[1]FINAL!$A$2:$M$699,MATCH("Team",[1]FINAL!$A$1:$K$1,0),0),"")</f>
        <v/>
      </c>
      <c r="I335" s="4" t="str">
        <f>IFERROR(VLOOKUP($A335&amp;$E318,DATA!$F$1:$H$500,MATCH("FULL OUT",DATA!$F$1:$H$1,0),0),"")</f>
        <v/>
      </c>
    </row>
    <row r="336" spans="1:9" x14ac:dyDescent="0.25">
      <c r="A336" s="6" t="str">
        <f t="shared" si="57"/>
        <v>GW20</v>
      </c>
      <c r="B336" s="7">
        <v>9</v>
      </c>
      <c r="C336" s="7" t="str">
        <f t="shared" si="56"/>
        <v>GW20-9</v>
      </c>
      <c r="D336" s="1" t="str">
        <f>IFERROR(VLOOKUP(E336,[1]FINAL!$A$2:$J$699,MATCH("Pos",[1]FINAL!$A$1:$J$1,0),0),"")</f>
        <v/>
      </c>
      <c r="E336" s="4" t="str">
        <f>IFERROR(VLOOKUP($A336&amp;$E319,DATA!$F$1:$G$500,MATCH("FULL IN",DATA!$F$1:$G$1,0),0),$E319)</f>
        <v/>
      </c>
      <c r="F336" s="2" t="str">
        <f t="shared" si="58"/>
        <v/>
      </c>
      <c r="G336" s="2" t="str">
        <f>IFERROR(VLOOKUP(E336,[1]FINAL!$A$2:$M$699,MATCH("Team",[1]FINAL!$A$1:$K$1,0),0),"")</f>
        <v/>
      </c>
      <c r="I336" s="4" t="str">
        <f>IFERROR(VLOOKUP($A336&amp;$E319,DATA!$F$1:$H$500,MATCH("FULL OUT",DATA!$F$1:$H$1,0),0),"")</f>
        <v/>
      </c>
    </row>
    <row r="337" spans="1:9" x14ac:dyDescent="0.25">
      <c r="A337" s="6" t="str">
        <f t="shared" si="57"/>
        <v>GW20</v>
      </c>
      <c r="B337" s="7">
        <v>10</v>
      </c>
      <c r="C337" s="7" t="str">
        <f t="shared" si="56"/>
        <v>GW20-10</v>
      </c>
      <c r="D337" s="1" t="str">
        <f>IFERROR(VLOOKUP(E337,[1]FINAL!$A$2:$J$699,MATCH("Pos",[1]FINAL!$A$1:$J$1,0),0),"")</f>
        <v/>
      </c>
      <c r="E337" s="4" t="str">
        <f>IFERROR(VLOOKUP($A337&amp;$E320,DATA!$F$1:$G$500,MATCH("FULL IN",DATA!$F$1:$G$1,0),0),$E320)</f>
        <v/>
      </c>
      <c r="F337" s="2" t="str">
        <f t="shared" si="58"/>
        <v/>
      </c>
      <c r="G337" s="2" t="str">
        <f>IFERROR(VLOOKUP(E337,[1]FINAL!$A$2:$M$699,MATCH("Team",[1]FINAL!$A$1:$K$1,0),0),"")</f>
        <v/>
      </c>
      <c r="I337" s="4" t="str">
        <f>IFERROR(VLOOKUP($A337&amp;$E320,DATA!$F$1:$H$500,MATCH("FULL OUT",DATA!$F$1:$H$1,0),0),"")</f>
        <v/>
      </c>
    </row>
    <row r="338" spans="1:9" x14ac:dyDescent="0.25">
      <c r="A338" s="6" t="str">
        <f t="shared" si="57"/>
        <v>GW20</v>
      </c>
      <c r="B338" s="7">
        <v>11</v>
      </c>
      <c r="C338" s="7" t="str">
        <f t="shared" si="56"/>
        <v>GW20-11</v>
      </c>
      <c r="D338" s="1" t="str">
        <f>IFERROR(VLOOKUP(E338,[1]FINAL!$A$2:$J$699,MATCH("Pos",[1]FINAL!$A$1:$J$1,0),0),"")</f>
        <v/>
      </c>
      <c r="E338" s="4" t="str">
        <f>IFERROR(VLOOKUP($A338&amp;$E321,DATA!$F$1:$G$500,MATCH("FULL IN",DATA!$F$1:$G$1,0),0),$E321)</f>
        <v/>
      </c>
      <c r="F338" s="2" t="str">
        <f t="shared" si="58"/>
        <v/>
      </c>
      <c r="G338" s="2" t="str">
        <f>IFERROR(VLOOKUP(E338,[1]FINAL!$A$2:$M$699,MATCH("Team",[1]FINAL!$A$1:$K$1,0),0),"")</f>
        <v/>
      </c>
      <c r="I338" s="4" t="str">
        <f>IFERROR(VLOOKUP($A338&amp;$E321,DATA!$F$1:$H$500,MATCH("FULL OUT",DATA!$F$1:$H$1,0),0),"")</f>
        <v/>
      </c>
    </row>
    <row r="339" spans="1:9" x14ac:dyDescent="0.25">
      <c r="A339" s="6" t="str">
        <f t="shared" si="57"/>
        <v>GW20</v>
      </c>
      <c r="B339" s="7">
        <v>12</v>
      </c>
      <c r="C339" s="7" t="str">
        <f t="shared" si="56"/>
        <v>GW20-12</v>
      </c>
      <c r="D339" s="1" t="str">
        <f>IFERROR(VLOOKUP(E339,[1]FINAL!$A$2:$J$699,MATCH("Pos",[1]FINAL!$A$1:$J$1,0),0),"")</f>
        <v/>
      </c>
      <c r="E339" s="4" t="str">
        <f>IFERROR(VLOOKUP($A339&amp;$E322,DATA!$F$1:$G$500,MATCH("FULL IN",DATA!$F$1:$G$1,0),0),$E322)</f>
        <v/>
      </c>
      <c r="F339" s="2" t="str">
        <f t="shared" si="58"/>
        <v/>
      </c>
      <c r="G339" s="2" t="str">
        <f>IFERROR(VLOOKUP(E339,[1]FINAL!$A$2:$M$699,MATCH("Team",[1]FINAL!$A$1:$K$1,0),0),"")</f>
        <v/>
      </c>
      <c r="I339" s="4" t="str">
        <f>IFERROR(VLOOKUP($A339&amp;$E322,DATA!$F$1:$H$500,MATCH("FULL OUT",DATA!$F$1:$H$1,0),0),"")</f>
        <v/>
      </c>
    </row>
    <row r="340" spans="1:9" x14ac:dyDescent="0.25">
      <c r="A340" s="6" t="str">
        <f t="shared" si="57"/>
        <v>GW20</v>
      </c>
      <c r="B340" s="7">
        <v>13</v>
      </c>
      <c r="C340" s="7" t="str">
        <f t="shared" si="56"/>
        <v>GW20-13</v>
      </c>
      <c r="D340" s="1" t="str">
        <f>IFERROR(VLOOKUP(E340,[1]FINAL!$A$2:$J$699,MATCH("Pos",[1]FINAL!$A$1:$J$1,0),0),"")</f>
        <v/>
      </c>
      <c r="E340" s="4" t="str">
        <f>IFERROR(VLOOKUP($A340&amp;$E323,DATA!$F$1:$G$500,MATCH("FULL IN",DATA!$F$1:$G$1,0),0),$E323)</f>
        <v/>
      </c>
      <c r="F340" s="2" t="str">
        <f t="shared" si="58"/>
        <v/>
      </c>
      <c r="G340" s="2" t="str">
        <f>IFERROR(VLOOKUP(E340,[1]FINAL!$A$2:$M$699,MATCH("Team",[1]FINAL!$A$1:$K$1,0),0),"")</f>
        <v/>
      </c>
      <c r="I340" s="4" t="str">
        <f>IFERROR(VLOOKUP($A340&amp;$E323,DATA!$F$1:$H$500,MATCH("FULL OUT",DATA!$F$1:$H$1,0),0),"")</f>
        <v/>
      </c>
    </row>
    <row r="341" spans="1:9" x14ac:dyDescent="0.25">
      <c r="A341" s="6" t="str">
        <f t="shared" si="57"/>
        <v>GW20</v>
      </c>
      <c r="B341" s="7">
        <v>14</v>
      </c>
      <c r="C341" s="7" t="str">
        <f t="shared" si="56"/>
        <v>GW20-14</v>
      </c>
      <c r="D341" s="1" t="str">
        <f>IFERROR(VLOOKUP(E341,[1]FINAL!$A$2:$J$699,MATCH("Pos",[1]FINAL!$A$1:$J$1,0),0),"")</f>
        <v/>
      </c>
      <c r="E341" s="4" t="str">
        <f>IFERROR(VLOOKUP($A341&amp;$E324,DATA!$F$1:$G$500,MATCH("FULL IN",DATA!$F$1:$G$1,0),0),$E324)</f>
        <v/>
      </c>
      <c r="F341" s="2" t="str">
        <f t="shared" si="58"/>
        <v/>
      </c>
      <c r="G341" s="2" t="str">
        <f>IFERROR(VLOOKUP(E341,[1]FINAL!$A$2:$M$699,MATCH("Team",[1]FINAL!$A$1:$K$1,0),0),"")</f>
        <v/>
      </c>
      <c r="I341" s="4" t="str">
        <f>IFERROR(VLOOKUP($A341&amp;$E324,DATA!$F$1:$H$500,MATCH("FULL OUT",DATA!$F$1:$H$1,0),0),"")</f>
        <v/>
      </c>
    </row>
    <row r="342" spans="1:9" x14ac:dyDescent="0.25">
      <c r="A342" s="6" t="str">
        <f t="shared" si="57"/>
        <v>GW20</v>
      </c>
      <c r="B342" s="7">
        <v>15</v>
      </c>
      <c r="C342" s="7" t="str">
        <f t="shared" si="56"/>
        <v>GW20-15</v>
      </c>
      <c r="D342" s="1" t="str">
        <f>IFERROR(VLOOKUP(E342,[1]FINAL!$A$2:$J$699,MATCH("Pos",[1]FINAL!$A$1:$J$1,0),0),"")</f>
        <v/>
      </c>
      <c r="E342" s="4" t="str">
        <f>IFERROR(VLOOKUP($A342&amp;$E325,DATA!$F$1:$G$500,MATCH("FULL IN",DATA!$F$1:$G$1,0),0),$E325)</f>
        <v/>
      </c>
      <c r="F342" s="2" t="str">
        <f t="shared" si="58"/>
        <v/>
      </c>
      <c r="G342" s="2" t="str">
        <f>IFERROR(VLOOKUP(E342,[1]FINAL!$A$2:$M$699,MATCH("Team",[1]FINAL!$A$1:$K$1,0),0),"")</f>
        <v/>
      </c>
      <c r="I342" s="4" t="str">
        <f>IFERROR(VLOOKUP($A342&amp;$E325,DATA!$F$1:$H$500,MATCH("FULL OUT",DATA!$F$1:$H$1,0),0),"")</f>
        <v/>
      </c>
    </row>
    <row r="345" spans="1:9" x14ac:dyDescent="0.25">
      <c r="A345" s="6" t="s">
        <v>23</v>
      </c>
      <c r="B345" s="7">
        <v>1</v>
      </c>
      <c r="C345" s="7" t="str">
        <f>A345&amp;-B345</f>
        <v>GW21-1</v>
      </c>
      <c r="D345" s="1" t="str">
        <f>IFERROR(VLOOKUP(E345,[1]FINAL!$A$2:$J$699,MATCH("Pos",[1]FINAL!$A$1:$J$1,0),0),"")</f>
        <v/>
      </c>
      <c r="E345" s="4" t="str">
        <f>IFERROR(VLOOKUP($A345&amp;$E328,DATA!$F$1:$G$500,MATCH("FULL IN",DATA!$F$1:$G$1,0),0),$E328)</f>
        <v>Player Name</v>
      </c>
      <c r="G345" s="2" t="str">
        <f>IFERROR(VLOOKUP(E345,[1]FINAL!$A$2:$M$699,MATCH("Team",[1]FINAL!$A$1:$K$1,0),0),"")</f>
        <v/>
      </c>
      <c r="I345" s="4" t="str">
        <f>IFERROR(VLOOKUP($A345&amp;$E328,DATA!$F$1:$H$500,MATCH("FULL OUT",DATA!$F$1:$H$1,0),0),"")</f>
        <v/>
      </c>
    </row>
    <row r="346" spans="1:9" x14ac:dyDescent="0.25">
      <c r="A346" s="6" t="str">
        <f>A345</f>
        <v>GW21</v>
      </c>
      <c r="B346" s="7">
        <v>2</v>
      </c>
      <c r="C346" s="7" t="str">
        <f t="shared" ref="C346:C359" si="59">A346&amp;-B346</f>
        <v>GW21-2</v>
      </c>
      <c r="D346" s="1" t="str">
        <f>IFERROR(VLOOKUP(E346,[1]FINAL!$A$2:$J$699,MATCH("Pos",[1]FINAL!$A$1:$J$1,0),0),"")</f>
        <v/>
      </c>
      <c r="E346" s="4" t="str">
        <f>IFERROR(VLOOKUP($A346&amp;$E329,DATA!$F$1:$G$500,MATCH("FULL IN",DATA!$F$1:$G$1,0),0),$E329)</f>
        <v/>
      </c>
      <c r="F346" s="2" t="str">
        <f>IF(Z346="","","IN")</f>
        <v/>
      </c>
      <c r="G346" s="2" t="str">
        <f>IFERROR(VLOOKUP(E346,[1]FINAL!$A$2:$M$699,MATCH("Team",[1]FINAL!$A$1:$K$1,0),0),"")</f>
        <v/>
      </c>
      <c r="I346" s="4" t="str">
        <f>IFERROR(VLOOKUP($A346&amp;$E329,DATA!$F$1:$H$500,MATCH("FULL OUT",DATA!$F$1:$H$1,0),0),"")</f>
        <v/>
      </c>
    </row>
    <row r="347" spans="1:9" x14ac:dyDescent="0.25">
      <c r="A347" s="6" t="str">
        <f t="shared" ref="A347:A359" si="60">A346</f>
        <v>GW21</v>
      </c>
      <c r="B347" s="7">
        <v>3</v>
      </c>
      <c r="C347" s="7" t="str">
        <f t="shared" si="59"/>
        <v>GW21-3</v>
      </c>
      <c r="D347" s="1" t="str">
        <f>IFERROR(VLOOKUP(E347,[1]FINAL!$A$2:$J$699,MATCH("Pos",[1]FINAL!$A$1:$J$1,0),0),"")</f>
        <v/>
      </c>
      <c r="E347" s="4" t="str">
        <f>IFERROR(VLOOKUP($A347&amp;$E330,DATA!$F$1:$G$500,MATCH("FULL IN",DATA!$F$1:$G$1,0),0),$E330)</f>
        <v/>
      </c>
      <c r="F347" s="2" t="str">
        <f t="shared" ref="F347:F359" si="61">IF(Z347="","","IN")</f>
        <v/>
      </c>
      <c r="G347" s="2" t="str">
        <f>IFERROR(VLOOKUP(E347,[1]FINAL!$A$2:$M$699,MATCH("Team",[1]FINAL!$A$1:$K$1,0),0),"")</f>
        <v/>
      </c>
      <c r="I347" s="4" t="str">
        <f>IFERROR(VLOOKUP($A347&amp;$E330,DATA!$F$1:$H$500,MATCH("FULL OUT",DATA!$F$1:$H$1,0),0),"")</f>
        <v/>
      </c>
    </row>
    <row r="348" spans="1:9" x14ac:dyDescent="0.25">
      <c r="A348" s="6" t="str">
        <f t="shared" si="60"/>
        <v>GW21</v>
      </c>
      <c r="B348" s="7">
        <v>4</v>
      </c>
      <c r="C348" s="7" t="str">
        <f t="shared" si="59"/>
        <v>GW21-4</v>
      </c>
      <c r="D348" s="1" t="str">
        <f>IFERROR(VLOOKUP(E348,[1]FINAL!$A$2:$J$699,MATCH("Pos",[1]FINAL!$A$1:$J$1,0),0),"")</f>
        <v/>
      </c>
      <c r="E348" s="4" t="str">
        <f>IFERROR(VLOOKUP($A348&amp;$E331,DATA!$F$1:$G$500,MATCH("FULL IN",DATA!$F$1:$G$1,0),0),$E331)</f>
        <v/>
      </c>
      <c r="F348" s="2" t="str">
        <f t="shared" si="61"/>
        <v/>
      </c>
      <c r="G348" s="2" t="str">
        <f>IFERROR(VLOOKUP(E348,[1]FINAL!$A$2:$M$699,MATCH("Team",[1]FINAL!$A$1:$K$1,0),0),"")</f>
        <v/>
      </c>
      <c r="I348" s="4" t="str">
        <f>IFERROR(VLOOKUP($A348&amp;$E331,DATA!$F$1:$H$500,MATCH("FULL OUT",DATA!$F$1:$H$1,0),0),"")</f>
        <v/>
      </c>
    </row>
    <row r="349" spans="1:9" x14ac:dyDescent="0.25">
      <c r="A349" s="6" t="str">
        <f t="shared" si="60"/>
        <v>GW21</v>
      </c>
      <c r="B349" s="7">
        <v>5</v>
      </c>
      <c r="C349" s="7" t="str">
        <f t="shared" si="59"/>
        <v>GW21-5</v>
      </c>
      <c r="D349" s="1" t="str">
        <f>IFERROR(VLOOKUP(E349,[1]FINAL!$A$2:$J$699,MATCH("Pos",[1]FINAL!$A$1:$J$1,0),0),"")</f>
        <v/>
      </c>
      <c r="E349" s="4" t="str">
        <f>IFERROR(VLOOKUP($A349&amp;$E332,DATA!$F$1:$G$500,MATCH("FULL IN",DATA!$F$1:$G$1,0),0),$E332)</f>
        <v/>
      </c>
      <c r="F349" s="2" t="str">
        <f t="shared" si="61"/>
        <v/>
      </c>
      <c r="G349" s="2" t="str">
        <f>IFERROR(VLOOKUP(E349,[1]FINAL!$A$2:$M$699,MATCH("Team",[1]FINAL!$A$1:$K$1,0),0),"")</f>
        <v/>
      </c>
      <c r="I349" s="4" t="str">
        <f>IFERROR(VLOOKUP($A349&amp;$E332,DATA!$F$1:$H$500,MATCH("FULL OUT",DATA!$F$1:$H$1,0),0),"")</f>
        <v/>
      </c>
    </row>
    <row r="350" spans="1:9" x14ac:dyDescent="0.25">
      <c r="A350" s="6" t="str">
        <f t="shared" si="60"/>
        <v>GW21</v>
      </c>
      <c r="B350" s="7">
        <v>6</v>
      </c>
      <c r="C350" s="7" t="str">
        <f t="shared" si="59"/>
        <v>GW21-6</v>
      </c>
      <c r="D350" s="1" t="str">
        <f>IFERROR(VLOOKUP(E350,[1]FINAL!$A$2:$J$699,MATCH("Pos",[1]FINAL!$A$1:$J$1,0),0),"")</f>
        <v/>
      </c>
      <c r="E350" s="4" t="str">
        <f>IFERROR(VLOOKUP($A350&amp;$E333,DATA!$F$1:$G$500,MATCH("FULL IN",DATA!$F$1:$G$1,0),0),$E333)</f>
        <v/>
      </c>
      <c r="F350" s="2" t="str">
        <f t="shared" si="61"/>
        <v/>
      </c>
      <c r="G350" s="2" t="str">
        <f>IFERROR(VLOOKUP(E350,[1]FINAL!$A$2:$M$699,MATCH("Team",[1]FINAL!$A$1:$K$1,0),0),"")</f>
        <v/>
      </c>
      <c r="I350" s="4" t="str">
        <f>IFERROR(VLOOKUP($A350&amp;$E333,DATA!$F$1:$H$500,MATCH("FULL OUT",DATA!$F$1:$H$1,0),0),"")</f>
        <v/>
      </c>
    </row>
    <row r="351" spans="1:9" x14ac:dyDescent="0.25">
      <c r="A351" s="6" t="str">
        <f t="shared" si="60"/>
        <v>GW21</v>
      </c>
      <c r="B351" s="7">
        <v>7</v>
      </c>
      <c r="C351" s="7" t="str">
        <f t="shared" si="59"/>
        <v>GW21-7</v>
      </c>
      <c r="D351" s="1" t="str">
        <f>IFERROR(VLOOKUP(E351,[1]FINAL!$A$2:$J$699,MATCH("Pos",[1]FINAL!$A$1:$J$1,0),0),"")</f>
        <v/>
      </c>
      <c r="E351" s="4" t="str">
        <f>IFERROR(VLOOKUP($A351&amp;$E334,DATA!$F$1:$G$500,MATCH("FULL IN",DATA!$F$1:$G$1,0),0),$E334)</f>
        <v/>
      </c>
      <c r="F351" s="2" t="str">
        <f t="shared" si="61"/>
        <v/>
      </c>
      <c r="G351" s="2" t="str">
        <f>IFERROR(VLOOKUP(E351,[1]FINAL!$A$2:$M$699,MATCH("Team",[1]FINAL!$A$1:$K$1,0),0),"")</f>
        <v/>
      </c>
      <c r="I351" s="4" t="str">
        <f>IFERROR(VLOOKUP($A351&amp;$E334,DATA!$F$1:$H$500,MATCH("FULL OUT",DATA!$F$1:$H$1,0),0),"")</f>
        <v/>
      </c>
    </row>
    <row r="352" spans="1:9" x14ac:dyDescent="0.25">
      <c r="A352" s="6" t="str">
        <f t="shared" si="60"/>
        <v>GW21</v>
      </c>
      <c r="B352" s="7">
        <v>8</v>
      </c>
      <c r="C352" s="7" t="str">
        <f t="shared" si="59"/>
        <v>GW21-8</v>
      </c>
      <c r="D352" s="1" t="str">
        <f>IFERROR(VLOOKUP(E352,[1]FINAL!$A$2:$J$699,MATCH("Pos",[1]FINAL!$A$1:$J$1,0),0),"")</f>
        <v/>
      </c>
      <c r="E352" s="4" t="str">
        <f>IFERROR(VLOOKUP($A352&amp;$E335,DATA!$F$1:$G$500,MATCH("FULL IN",DATA!$F$1:$G$1,0),0),$E335)</f>
        <v/>
      </c>
      <c r="F352" s="2" t="str">
        <f t="shared" si="61"/>
        <v/>
      </c>
      <c r="G352" s="2" t="str">
        <f>IFERROR(VLOOKUP(E352,[1]FINAL!$A$2:$M$699,MATCH("Team",[1]FINAL!$A$1:$K$1,0),0),"")</f>
        <v/>
      </c>
      <c r="I352" s="4" t="str">
        <f>IFERROR(VLOOKUP($A352&amp;$E335,DATA!$F$1:$H$500,MATCH("FULL OUT",DATA!$F$1:$H$1,0),0),"")</f>
        <v/>
      </c>
    </row>
    <row r="353" spans="1:9" x14ac:dyDescent="0.25">
      <c r="A353" s="6" t="str">
        <f t="shared" si="60"/>
        <v>GW21</v>
      </c>
      <c r="B353" s="7">
        <v>9</v>
      </c>
      <c r="C353" s="7" t="str">
        <f t="shared" si="59"/>
        <v>GW21-9</v>
      </c>
      <c r="D353" s="1" t="str">
        <f>IFERROR(VLOOKUP(E353,[1]FINAL!$A$2:$J$699,MATCH("Pos",[1]FINAL!$A$1:$J$1,0),0),"")</f>
        <v/>
      </c>
      <c r="E353" s="4" t="str">
        <f>IFERROR(VLOOKUP($A353&amp;$E336,DATA!$F$1:$G$500,MATCH("FULL IN",DATA!$F$1:$G$1,0),0),$E336)</f>
        <v/>
      </c>
      <c r="F353" s="2" t="str">
        <f t="shared" si="61"/>
        <v/>
      </c>
      <c r="G353" s="2" t="str">
        <f>IFERROR(VLOOKUP(E353,[1]FINAL!$A$2:$M$699,MATCH("Team",[1]FINAL!$A$1:$K$1,0),0),"")</f>
        <v/>
      </c>
      <c r="I353" s="4" t="str">
        <f>IFERROR(VLOOKUP($A353&amp;$E336,DATA!$F$1:$H$500,MATCH("FULL OUT",DATA!$F$1:$H$1,0),0),"")</f>
        <v/>
      </c>
    </row>
    <row r="354" spans="1:9" x14ac:dyDescent="0.25">
      <c r="A354" s="6" t="str">
        <f t="shared" si="60"/>
        <v>GW21</v>
      </c>
      <c r="B354" s="7">
        <v>10</v>
      </c>
      <c r="C354" s="7" t="str">
        <f t="shared" si="59"/>
        <v>GW21-10</v>
      </c>
      <c r="D354" s="1" t="str">
        <f>IFERROR(VLOOKUP(E354,[1]FINAL!$A$2:$J$699,MATCH("Pos",[1]FINAL!$A$1:$J$1,0),0),"")</f>
        <v/>
      </c>
      <c r="E354" s="4" t="str">
        <f>IFERROR(VLOOKUP($A354&amp;$E337,DATA!$F$1:$G$500,MATCH("FULL IN",DATA!$F$1:$G$1,0),0),$E337)</f>
        <v/>
      </c>
      <c r="F354" s="2" t="str">
        <f t="shared" si="61"/>
        <v/>
      </c>
      <c r="G354" s="2" t="str">
        <f>IFERROR(VLOOKUP(E354,[1]FINAL!$A$2:$M$699,MATCH("Team",[1]FINAL!$A$1:$K$1,0),0),"")</f>
        <v/>
      </c>
      <c r="I354" s="4" t="str">
        <f>IFERROR(VLOOKUP($A354&amp;$E337,DATA!$F$1:$H$500,MATCH("FULL OUT",DATA!$F$1:$H$1,0),0),"")</f>
        <v/>
      </c>
    </row>
    <row r="355" spans="1:9" x14ac:dyDescent="0.25">
      <c r="A355" s="6" t="str">
        <f t="shared" si="60"/>
        <v>GW21</v>
      </c>
      <c r="B355" s="7">
        <v>11</v>
      </c>
      <c r="C355" s="7" t="str">
        <f t="shared" si="59"/>
        <v>GW21-11</v>
      </c>
      <c r="D355" s="1" t="str">
        <f>IFERROR(VLOOKUP(E355,[1]FINAL!$A$2:$J$699,MATCH("Pos",[1]FINAL!$A$1:$J$1,0),0),"")</f>
        <v/>
      </c>
      <c r="E355" s="4" t="str">
        <f>IFERROR(VLOOKUP($A355&amp;$E338,DATA!$F$1:$G$500,MATCH("FULL IN",DATA!$F$1:$G$1,0),0),$E338)</f>
        <v/>
      </c>
      <c r="F355" s="2" t="str">
        <f t="shared" si="61"/>
        <v/>
      </c>
      <c r="G355" s="2" t="str">
        <f>IFERROR(VLOOKUP(E355,[1]FINAL!$A$2:$M$699,MATCH("Team",[1]FINAL!$A$1:$K$1,0),0),"")</f>
        <v/>
      </c>
      <c r="I355" s="4" t="str">
        <f>IFERROR(VLOOKUP($A355&amp;$E338,DATA!$F$1:$H$500,MATCH("FULL OUT",DATA!$F$1:$H$1,0),0),"")</f>
        <v/>
      </c>
    </row>
    <row r="356" spans="1:9" x14ac:dyDescent="0.25">
      <c r="A356" s="6" t="str">
        <f t="shared" si="60"/>
        <v>GW21</v>
      </c>
      <c r="B356" s="7">
        <v>12</v>
      </c>
      <c r="C356" s="7" t="str">
        <f t="shared" si="59"/>
        <v>GW21-12</v>
      </c>
      <c r="D356" s="1" t="str">
        <f>IFERROR(VLOOKUP(E356,[1]FINAL!$A$2:$J$699,MATCH("Pos",[1]FINAL!$A$1:$J$1,0),0),"")</f>
        <v/>
      </c>
      <c r="E356" s="4" t="str">
        <f>IFERROR(VLOOKUP($A356&amp;$E339,DATA!$F$1:$G$500,MATCH("FULL IN",DATA!$F$1:$G$1,0),0),$E339)</f>
        <v/>
      </c>
      <c r="F356" s="2" t="str">
        <f t="shared" si="61"/>
        <v/>
      </c>
      <c r="G356" s="2" t="str">
        <f>IFERROR(VLOOKUP(E356,[1]FINAL!$A$2:$M$699,MATCH("Team",[1]FINAL!$A$1:$K$1,0),0),"")</f>
        <v/>
      </c>
      <c r="I356" s="4" t="str">
        <f>IFERROR(VLOOKUP($A356&amp;$E339,DATA!$F$1:$H$500,MATCH("FULL OUT",DATA!$F$1:$H$1,0),0),"")</f>
        <v/>
      </c>
    </row>
    <row r="357" spans="1:9" x14ac:dyDescent="0.25">
      <c r="A357" s="6" t="str">
        <f t="shared" si="60"/>
        <v>GW21</v>
      </c>
      <c r="B357" s="7">
        <v>13</v>
      </c>
      <c r="C357" s="7" t="str">
        <f t="shared" si="59"/>
        <v>GW21-13</v>
      </c>
      <c r="D357" s="1" t="str">
        <f>IFERROR(VLOOKUP(E357,[1]FINAL!$A$2:$J$699,MATCH("Pos",[1]FINAL!$A$1:$J$1,0),0),"")</f>
        <v/>
      </c>
      <c r="E357" s="4" t="str">
        <f>IFERROR(VLOOKUP($A357&amp;$E340,DATA!$F$1:$G$500,MATCH("FULL IN",DATA!$F$1:$G$1,0),0),$E340)</f>
        <v/>
      </c>
      <c r="F357" s="2" t="str">
        <f t="shared" si="61"/>
        <v/>
      </c>
      <c r="G357" s="2" t="str">
        <f>IFERROR(VLOOKUP(E357,[1]FINAL!$A$2:$M$699,MATCH("Team",[1]FINAL!$A$1:$K$1,0),0),"")</f>
        <v/>
      </c>
      <c r="I357" s="4" t="str">
        <f>IFERROR(VLOOKUP($A357&amp;$E340,DATA!$F$1:$H$500,MATCH("FULL OUT",DATA!$F$1:$H$1,0),0),"")</f>
        <v/>
      </c>
    </row>
    <row r="358" spans="1:9" x14ac:dyDescent="0.25">
      <c r="A358" s="6" t="str">
        <f t="shared" si="60"/>
        <v>GW21</v>
      </c>
      <c r="B358" s="7">
        <v>14</v>
      </c>
      <c r="C358" s="7" t="str">
        <f t="shared" si="59"/>
        <v>GW21-14</v>
      </c>
      <c r="D358" s="1" t="str">
        <f>IFERROR(VLOOKUP(E358,[1]FINAL!$A$2:$J$699,MATCH("Pos",[1]FINAL!$A$1:$J$1,0),0),"")</f>
        <v/>
      </c>
      <c r="E358" s="4" t="str">
        <f>IFERROR(VLOOKUP($A358&amp;$E341,DATA!$F$1:$G$500,MATCH("FULL IN",DATA!$F$1:$G$1,0),0),$E341)</f>
        <v/>
      </c>
      <c r="F358" s="2" t="str">
        <f t="shared" si="61"/>
        <v/>
      </c>
      <c r="G358" s="2" t="str">
        <f>IFERROR(VLOOKUP(E358,[1]FINAL!$A$2:$M$699,MATCH("Team",[1]FINAL!$A$1:$K$1,0),0),"")</f>
        <v/>
      </c>
      <c r="I358" s="4" t="str">
        <f>IFERROR(VLOOKUP($A358&amp;$E341,DATA!$F$1:$H$500,MATCH("FULL OUT",DATA!$F$1:$H$1,0),0),"")</f>
        <v/>
      </c>
    </row>
    <row r="359" spans="1:9" x14ac:dyDescent="0.25">
      <c r="A359" s="6" t="str">
        <f t="shared" si="60"/>
        <v>GW21</v>
      </c>
      <c r="B359" s="7">
        <v>15</v>
      </c>
      <c r="C359" s="7" t="str">
        <f t="shared" si="59"/>
        <v>GW21-15</v>
      </c>
      <c r="D359" s="1" t="str">
        <f>IFERROR(VLOOKUP(E359,[1]FINAL!$A$2:$J$699,MATCH("Pos",[1]FINAL!$A$1:$J$1,0),0),"")</f>
        <v/>
      </c>
      <c r="E359" s="4" t="str">
        <f>IFERROR(VLOOKUP($A359&amp;$E342,DATA!$F$1:$G$500,MATCH("FULL IN",DATA!$F$1:$G$1,0),0),$E342)</f>
        <v/>
      </c>
      <c r="F359" s="2" t="str">
        <f t="shared" si="61"/>
        <v/>
      </c>
      <c r="G359" s="2" t="str">
        <f>IFERROR(VLOOKUP(E359,[1]FINAL!$A$2:$M$699,MATCH("Team",[1]FINAL!$A$1:$K$1,0),0),"")</f>
        <v/>
      </c>
      <c r="I359" s="4" t="str">
        <f>IFERROR(VLOOKUP($A359&amp;$E342,DATA!$F$1:$H$500,MATCH("FULL OUT",DATA!$F$1:$H$1,0),0),"")</f>
        <v/>
      </c>
    </row>
    <row r="362" spans="1:9" x14ac:dyDescent="0.25">
      <c r="A362" s="6" t="s">
        <v>24</v>
      </c>
      <c r="B362" s="7">
        <v>1</v>
      </c>
      <c r="C362" s="7" t="str">
        <f>A362&amp;-B362</f>
        <v>GW22-1</v>
      </c>
      <c r="D362" s="1" t="str">
        <f>IFERROR(VLOOKUP(E362,[1]FINAL!$A$2:$J$699,MATCH("Pos",[1]FINAL!$A$1:$J$1,0),0),"")</f>
        <v/>
      </c>
      <c r="E362" s="4" t="str">
        <f>IFERROR(VLOOKUP($A362&amp;$E345,DATA!$F$1:$G$500,MATCH("FULL IN",DATA!$F$1:$G$1,0),0),$E345)</f>
        <v>Player Name</v>
      </c>
      <c r="G362" s="2" t="str">
        <f>IFERROR(VLOOKUP(E362,[1]FINAL!$A$2:$M$699,MATCH("Team",[1]FINAL!$A$1:$K$1,0),0),"")</f>
        <v/>
      </c>
      <c r="I362" s="4" t="str">
        <f>IFERROR(VLOOKUP($A362&amp;$E345,DATA!$F$1:$H$500,MATCH("FULL OUT",DATA!$F$1:$H$1,0),0),"")</f>
        <v/>
      </c>
    </row>
    <row r="363" spans="1:9" x14ac:dyDescent="0.25">
      <c r="A363" s="6" t="str">
        <f>A362</f>
        <v>GW22</v>
      </c>
      <c r="B363" s="7">
        <v>2</v>
      </c>
      <c r="C363" s="7" t="str">
        <f t="shared" ref="C363:C376" si="62">A363&amp;-B363</f>
        <v>GW22-2</v>
      </c>
      <c r="D363" s="1" t="str">
        <f>IFERROR(VLOOKUP(E363,[1]FINAL!$A$2:$J$699,MATCH("Pos",[1]FINAL!$A$1:$J$1,0),0),"")</f>
        <v/>
      </c>
      <c r="E363" s="4" t="str">
        <f>IFERROR(VLOOKUP($A363&amp;$E346,DATA!$F$1:$G$500,MATCH("FULL IN",DATA!$F$1:$G$1,0),0),$E346)</f>
        <v/>
      </c>
      <c r="F363" s="2" t="str">
        <f>IF(Z363="","","IN")</f>
        <v/>
      </c>
      <c r="G363" s="2" t="str">
        <f>IFERROR(VLOOKUP(E363,[1]FINAL!$A$2:$M$699,MATCH("Team",[1]FINAL!$A$1:$K$1,0),0),"")</f>
        <v/>
      </c>
      <c r="I363" s="4" t="str">
        <f>IFERROR(VLOOKUP($A363&amp;$E346,DATA!$F$1:$H$500,MATCH("FULL OUT",DATA!$F$1:$H$1,0),0),"")</f>
        <v/>
      </c>
    </row>
    <row r="364" spans="1:9" x14ac:dyDescent="0.25">
      <c r="A364" s="6" t="str">
        <f t="shared" ref="A364:A376" si="63">A363</f>
        <v>GW22</v>
      </c>
      <c r="B364" s="7">
        <v>3</v>
      </c>
      <c r="C364" s="7" t="str">
        <f t="shared" si="62"/>
        <v>GW22-3</v>
      </c>
      <c r="D364" s="1" t="str">
        <f>IFERROR(VLOOKUP(E364,[1]FINAL!$A$2:$J$699,MATCH("Pos",[1]FINAL!$A$1:$J$1,0),0),"")</f>
        <v/>
      </c>
      <c r="E364" s="4" t="str">
        <f>IFERROR(VLOOKUP($A364&amp;$E347,DATA!$F$1:$G$500,MATCH("FULL IN",DATA!$F$1:$G$1,0),0),$E347)</f>
        <v/>
      </c>
      <c r="F364" s="2" t="str">
        <f t="shared" ref="F364:F376" si="64">IF(Z364="","","IN")</f>
        <v/>
      </c>
      <c r="G364" s="2" t="str">
        <f>IFERROR(VLOOKUP(E364,[1]FINAL!$A$2:$M$699,MATCH("Team",[1]FINAL!$A$1:$K$1,0),0),"")</f>
        <v/>
      </c>
      <c r="I364" s="4" t="str">
        <f>IFERROR(VLOOKUP($A364&amp;$E347,DATA!$F$1:$H$500,MATCH("FULL OUT",DATA!$F$1:$H$1,0),0),"")</f>
        <v/>
      </c>
    </row>
    <row r="365" spans="1:9" x14ac:dyDescent="0.25">
      <c r="A365" s="6" t="str">
        <f t="shared" si="63"/>
        <v>GW22</v>
      </c>
      <c r="B365" s="7">
        <v>4</v>
      </c>
      <c r="C365" s="7" t="str">
        <f t="shared" si="62"/>
        <v>GW22-4</v>
      </c>
      <c r="D365" s="1" t="str">
        <f>IFERROR(VLOOKUP(E365,[1]FINAL!$A$2:$J$699,MATCH("Pos",[1]FINAL!$A$1:$J$1,0),0),"")</f>
        <v/>
      </c>
      <c r="E365" s="4" t="str">
        <f>IFERROR(VLOOKUP($A365&amp;$E348,DATA!$F$1:$G$500,MATCH("FULL IN",DATA!$F$1:$G$1,0),0),$E348)</f>
        <v/>
      </c>
      <c r="F365" s="2" t="str">
        <f t="shared" si="64"/>
        <v/>
      </c>
      <c r="G365" s="2" t="str">
        <f>IFERROR(VLOOKUP(E365,[1]FINAL!$A$2:$M$699,MATCH("Team",[1]FINAL!$A$1:$K$1,0),0),"")</f>
        <v/>
      </c>
      <c r="I365" s="4" t="str">
        <f>IFERROR(VLOOKUP($A365&amp;$E348,DATA!$F$1:$H$500,MATCH("FULL OUT",DATA!$F$1:$H$1,0),0),"")</f>
        <v/>
      </c>
    </row>
    <row r="366" spans="1:9" x14ac:dyDescent="0.25">
      <c r="A366" s="6" t="str">
        <f t="shared" si="63"/>
        <v>GW22</v>
      </c>
      <c r="B366" s="7">
        <v>5</v>
      </c>
      <c r="C366" s="7" t="str">
        <f t="shared" si="62"/>
        <v>GW22-5</v>
      </c>
      <c r="D366" s="1" t="str">
        <f>IFERROR(VLOOKUP(E366,[1]FINAL!$A$2:$J$699,MATCH("Pos",[1]FINAL!$A$1:$J$1,0),0),"")</f>
        <v/>
      </c>
      <c r="E366" s="4" t="str">
        <f>IFERROR(VLOOKUP($A366&amp;$E349,DATA!$F$1:$G$500,MATCH("FULL IN",DATA!$F$1:$G$1,0),0),$E349)</f>
        <v/>
      </c>
      <c r="F366" s="2" t="str">
        <f t="shared" si="64"/>
        <v/>
      </c>
      <c r="G366" s="2" t="str">
        <f>IFERROR(VLOOKUP(E366,[1]FINAL!$A$2:$M$699,MATCH("Team",[1]FINAL!$A$1:$K$1,0),0),"")</f>
        <v/>
      </c>
      <c r="I366" s="4" t="str">
        <f>IFERROR(VLOOKUP($A366&amp;$E349,DATA!$F$1:$H$500,MATCH("FULL OUT",DATA!$F$1:$H$1,0),0),"")</f>
        <v/>
      </c>
    </row>
    <row r="367" spans="1:9" x14ac:dyDescent="0.25">
      <c r="A367" s="6" t="str">
        <f t="shared" si="63"/>
        <v>GW22</v>
      </c>
      <c r="B367" s="7">
        <v>6</v>
      </c>
      <c r="C367" s="7" t="str">
        <f t="shared" si="62"/>
        <v>GW22-6</v>
      </c>
      <c r="D367" s="1" t="str">
        <f>IFERROR(VLOOKUP(E367,[1]FINAL!$A$2:$J$699,MATCH("Pos",[1]FINAL!$A$1:$J$1,0),0),"")</f>
        <v/>
      </c>
      <c r="E367" s="4" t="str">
        <f>IFERROR(VLOOKUP($A367&amp;$E350,DATA!$F$1:$G$500,MATCH("FULL IN",DATA!$F$1:$G$1,0),0),$E350)</f>
        <v/>
      </c>
      <c r="F367" s="2" t="str">
        <f t="shared" si="64"/>
        <v/>
      </c>
      <c r="G367" s="2" t="str">
        <f>IFERROR(VLOOKUP(E367,[1]FINAL!$A$2:$M$699,MATCH("Team",[1]FINAL!$A$1:$K$1,0),0),"")</f>
        <v/>
      </c>
      <c r="I367" s="4" t="str">
        <f>IFERROR(VLOOKUP($A367&amp;$E350,DATA!$F$1:$H$500,MATCH("FULL OUT",DATA!$F$1:$H$1,0),0),"")</f>
        <v/>
      </c>
    </row>
    <row r="368" spans="1:9" x14ac:dyDescent="0.25">
      <c r="A368" s="6" t="str">
        <f t="shared" si="63"/>
        <v>GW22</v>
      </c>
      <c r="B368" s="7">
        <v>7</v>
      </c>
      <c r="C368" s="7" t="str">
        <f t="shared" si="62"/>
        <v>GW22-7</v>
      </c>
      <c r="D368" s="1" t="str">
        <f>IFERROR(VLOOKUP(E368,[1]FINAL!$A$2:$J$699,MATCH("Pos",[1]FINAL!$A$1:$J$1,0),0),"")</f>
        <v/>
      </c>
      <c r="E368" s="4" t="str">
        <f>IFERROR(VLOOKUP($A368&amp;$E351,DATA!$F$1:$G$500,MATCH("FULL IN",DATA!$F$1:$G$1,0),0),$E351)</f>
        <v/>
      </c>
      <c r="F368" s="2" t="str">
        <f t="shared" si="64"/>
        <v/>
      </c>
      <c r="G368" s="2" t="str">
        <f>IFERROR(VLOOKUP(E368,[1]FINAL!$A$2:$M$699,MATCH("Team",[1]FINAL!$A$1:$K$1,0),0),"")</f>
        <v/>
      </c>
      <c r="I368" s="4" t="str">
        <f>IFERROR(VLOOKUP($A368&amp;$E351,DATA!$F$1:$H$500,MATCH("FULL OUT",DATA!$F$1:$H$1,0),0),"")</f>
        <v/>
      </c>
    </row>
    <row r="369" spans="1:9" x14ac:dyDescent="0.25">
      <c r="A369" s="6" t="str">
        <f t="shared" si="63"/>
        <v>GW22</v>
      </c>
      <c r="B369" s="7">
        <v>8</v>
      </c>
      <c r="C369" s="7" t="str">
        <f t="shared" si="62"/>
        <v>GW22-8</v>
      </c>
      <c r="D369" s="1" t="str">
        <f>IFERROR(VLOOKUP(E369,[1]FINAL!$A$2:$J$699,MATCH("Pos",[1]FINAL!$A$1:$J$1,0),0),"")</f>
        <v/>
      </c>
      <c r="E369" s="4" t="str">
        <f>IFERROR(VLOOKUP($A369&amp;$E352,DATA!$F$1:$G$500,MATCH("FULL IN",DATA!$F$1:$G$1,0),0),$E352)</f>
        <v/>
      </c>
      <c r="F369" s="2" t="str">
        <f t="shared" si="64"/>
        <v/>
      </c>
      <c r="G369" s="2" t="str">
        <f>IFERROR(VLOOKUP(E369,[1]FINAL!$A$2:$M$699,MATCH("Team",[1]FINAL!$A$1:$K$1,0),0),"")</f>
        <v/>
      </c>
      <c r="I369" s="4" t="str">
        <f>IFERROR(VLOOKUP($A369&amp;$E352,DATA!$F$1:$H$500,MATCH("FULL OUT",DATA!$F$1:$H$1,0),0),"")</f>
        <v/>
      </c>
    </row>
    <row r="370" spans="1:9" x14ac:dyDescent="0.25">
      <c r="A370" s="6" t="str">
        <f t="shared" si="63"/>
        <v>GW22</v>
      </c>
      <c r="B370" s="7">
        <v>9</v>
      </c>
      <c r="C370" s="7" t="str">
        <f t="shared" si="62"/>
        <v>GW22-9</v>
      </c>
      <c r="D370" s="1" t="str">
        <f>IFERROR(VLOOKUP(E370,[1]FINAL!$A$2:$J$699,MATCH("Pos",[1]FINAL!$A$1:$J$1,0),0),"")</f>
        <v/>
      </c>
      <c r="E370" s="4" t="str">
        <f>IFERROR(VLOOKUP($A370&amp;$E353,DATA!$F$1:$G$500,MATCH("FULL IN",DATA!$F$1:$G$1,0),0),$E353)</f>
        <v/>
      </c>
      <c r="F370" s="2" t="str">
        <f t="shared" si="64"/>
        <v/>
      </c>
      <c r="G370" s="2" t="str">
        <f>IFERROR(VLOOKUP(E370,[1]FINAL!$A$2:$M$699,MATCH("Team",[1]FINAL!$A$1:$K$1,0),0),"")</f>
        <v/>
      </c>
      <c r="I370" s="4" t="str">
        <f>IFERROR(VLOOKUP($A370&amp;$E353,DATA!$F$1:$H$500,MATCH("FULL OUT",DATA!$F$1:$H$1,0),0),"")</f>
        <v/>
      </c>
    </row>
    <row r="371" spans="1:9" x14ac:dyDescent="0.25">
      <c r="A371" s="6" t="str">
        <f t="shared" si="63"/>
        <v>GW22</v>
      </c>
      <c r="B371" s="7">
        <v>10</v>
      </c>
      <c r="C371" s="7" t="str">
        <f t="shared" si="62"/>
        <v>GW22-10</v>
      </c>
      <c r="D371" s="1" t="str">
        <f>IFERROR(VLOOKUP(E371,[1]FINAL!$A$2:$J$699,MATCH("Pos",[1]FINAL!$A$1:$J$1,0),0),"")</f>
        <v/>
      </c>
      <c r="E371" s="4" t="str">
        <f>IFERROR(VLOOKUP($A371&amp;$E354,DATA!$F$1:$G$500,MATCH("FULL IN",DATA!$F$1:$G$1,0),0),$E354)</f>
        <v/>
      </c>
      <c r="F371" s="2" t="str">
        <f t="shared" si="64"/>
        <v/>
      </c>
      <c r="G371" s="2" t="str">
        <f>IFERROR(VLOOKUP(E371,[1]FINAL!$A$2:$M$699,MATCH("Team",[1]FINAL!$A$1:$K$1,0),0),"")</f>
        <v/>
      </c>
      <c r="I371" s="4" t="str">
        <f>IFERROR(VLOOKUP($A371&amp;$E354,DATA!$F$1:$H$500,MATCH("FULL OUT",DATA!$F$1:$H$1,0),0),"")</f>
        <v/>
      </c>
    </row>
    <row r="372" spans="1:9" x14ac:dyDescent="0.25">
      <c r="A372" s="6" t="str">
        <f t="shared" si="63"/>
        <v>GW22</v>
      </c>
      <c r="B372" s="7">
        <v>11</v>
      </c>
      <c r="C372" s="7" t="str">
        <f t="shared" si="62"/>
        <v>GW22-11</v>
      </c>
      <c r="D372" s="1" t="str">
        <f>IFERROR(VLOOKUP(E372,[1]FINAL!$A$2:$J$699,MATCH("Pos",[1]FINAL!$A$1:$J$1,0),0),"")</f>
        <v/>
      </c>
      <c r="E372" s="4" t="str">
        <f>IFERROR(VLOOKUP($A372&amp;$E355,DATA!$F$1:$G$500,MATCH("FULL IN",DATA!$F$1:$G$1,0),0),$E355)</f>
        <v/>
      </c>
      <c r="F372" s="2" t="str">
        <f t="shared" si="64"/>
        <v/>
      </c>
      <c r="G372" s="2" t="str">
        <f>IFERROR(VLOOKUP(E372,[1]FINAL!$A$2:$M$699,MATCH("Team",[1]FINAL!$A$1:$K$1,0),0),"")</f>
        <v/>
      </c>
      <c r="I372" s="4" t="str">
        <f>IFERROR(VLOOKUP($A372&amp;$E355,DATA!$F$1:$H$500,MATCH("FULL OUT",DATA!$F$1:$H$1,0),0),"")</f>
        <v/>
      </c>
    </row>
    <row r="373" spans="1:9" x14ac:dyDescent="0.25">
      <c r="A373" s="6" t="str">
        <f t="shared" si="63"/>
        <v>GW22</v>
      </c>
      <c r="B373" s="7">
        <v>12</v>
      </c>
      <c r="C373" s="7" t="str">
        <f t="shared" si="62"/>
        <v>GW22-12</v>
      </c>
      <c r="D373" s="1" t="str">
        <f>IFERROR(VLOOKUP(E373,[1]FINAL!$A$2:$J$699,MATCH("Pos",[1]FINAL!$A$1:$J$1,0),0),"")</f>
        <v/>
      </c>
      <c r="E373" s="4" t="str">
        <f>IFERROR(VLOOKUP($A373&amp;$E356,DATA!$F$1:$G$500,MATCH("FULL IN",DATA!$F$1:$G$1,0),0),$E356)</f>
        <v/>
      </c>
      <c r="F373" s="2" t="str">
        <f t="shared" si="64"/>
        <v/>
      </c>
      <c r="G373" s="2" t="str">
        <f>IFERROR(VLOOKUP(E373,[1]FINAL!$A$2:$M$699,MATCH("Team",[1]FINAL!$A$1:$K$1,0),0),"")</f>
        <v/>
      </c>
      <c r="I373" s="4" t="str">
        <f>IFERROR(VLOOKUP($A373&amp;$E356,DATA!$F$1:$H$500,MATCH("FULL OUT",DATA!$F$1:$H$1,0),0),"")</f>
        <v/>
      </c>
    </row>
    <row r="374" spans="1:9" x14ac:dyDescent="0.25">
      <c r="A374" s="6" t="str">
        <f t="shared" si="63"/>
        <v>GW22</v>
      </c>
      <c r="B374" s="7">
        <v>13</v>
      </c>
      <c r="C374" s="7" t="str">
        <f t="shared" si="62"/>
        <v>GW22-13</v>
      </c>
      <c r="D374" s="1" t="str">
        <f>IFERROR(VLOOKUP(E374,[1]FINAL!$A$2:$J$699,MATCH("Pos",[1]FINAL!$A$1:$J$1,0),0),"")</f>
        <v/>
      </c>
      <c r="E374" s="4" t="str">
        <f>IFERROR(VLOOKUP($A374&amp;$E357,DATA!$F$1:$G$500,MATCH("FULL IN",DATA!$F$1:$G$1,0),0),$E357)</f>
        <v/>
      </c>
      <c r="F374" s="2" t="str">
        <f t="shared" si="64"/>
        <v/>
      </c>
      <c r="G374" s="2" t="str">
        <f>IFERROR(VLOOKUP(E374,[1]FINAL!$A$2:$M$699,MATCH("Team",[1]FINAL!$A$1:$K$1,0),0),"")</f>
        <v/>
      </c>
      <c r="I374" s="4" t="str">
        <f>IFERROR(VLOOKUP($A374&amp;$E357,DATA!$F$1:$H$500,MATCH("FULL OUT",DATA!$F$1:$H$1,0),0),"")</f>
        <v/>
      </c>
    </row>
    <row r="375" spans="1:9" x14ac:dyDescent="0.25">
      <c r="A375" s="6" t="str">
        <f t="shared" si="63"/>
        <v>GW22</v>
      </c>
      <c r="B375" s="7">
        <v>14</v>
      </c>
      <c r="C375" s="7" t="str">
        <f t="shared" si="62"/>
        <v>GW22-14</v>
      </c>
      <c r="D375" s="1" t="str">
        <f>IFERROR(VLOOKUP(E375,[1]FINAL!$A$2:$J$699,MATCH("Pos",[1]FINAL!$A$1:$J$1,0),0),"")</f>
        <v/>
      </c>
      <c r="E375" s="4" t="str">
        <f>IFERROR(VLOOKUP($A375&amp;$E358,DATA!$F$1:$G$500,MATCH("FULL IN",DATA!$F$1:$G$1,0),0),$E358)</f>
        <v/>
      </c>
      <c r="F375" s="2" t="str">
        <f t="shared" si="64"/>
        <v/>
      </c>
      <c r="G375" s="2" t="str">
        <f>IFERROR(VLOOKUP(E375,[1]FINAL!$A$2:$M$699,MATCH("Team",[1]FINAL!$A$1:$K$1,0),0),"")</f>
        <v/>
      </c>
      <c r="I375" s="4" t="str">
        <f>IFERROR(VLOOKUP($A375&amp;$E358,DATA!$F$1:$H$500,MATCH("FULL OUT",DATA!$F$1:$H$1,0),0),"")</f>
        <v/>
      </c>
    </row>
    <row r="376" spans="1:9" x14ac:dyDescent="0.25">
      <c r="A376" s="6" t="str">
        <f t="shared" si="63"/>
        <v>GW22</v>
      </c>
      <c r="B376" s="7">
        <v>15</v>
      </c>
      <c r="C376" s="7" t="str">
        <f t="shared" si="62"/>
        <v>GW22-15</v>
      </c>
      <c r="D376" s="1" t="str">
        <f>IFERROR(VLOOKUP(E376,[1]FINAL!$A$2:$J$699,MATCH("Pos",[1]FINAL!$A$1:$J$1,0),0),"")</f>
        <v/>
      </c>
      <c r="E376" s="4" t="str">
        <f>IFERROR(VLOOKUP($A376&amp;$E359,DATA!$F$1:$G$500,MATCH("FULL IN",DATA!$F$1:$G$1,0),0),$E359)</f>
        <v/>
      </c>
      <c r="F376" s="2" t="str">
        <f t="shared" si="64"/>
        <v/>
      </c>
      <c r="G376" s="2" t="str">
        <f>IFERROR(VLOOKUP(E376,[1]FINAL!$A$2:$M$699,MATCH("Team",[1]FINAL!$A$1:$K$1,0),0),"")</f>
        <v/>
      </c>
      <c r="I376" s="4" t="str">
        <f>IFERROR(VLOOKUP($A376&amp;$E359,DATA!$F$1:$H$500,MATCH("FULL OUT",DATA!$F$1:$H$1,0),0),"")</f>
        <v/>
      </c>
    </row>
    <row r="379" spans="1:9" x14ac:dyDescent="0.25">
      <c r="A379" s="6" t="s">
        <v>25</v>
      </c>
      <c r="B379" s="7">
        <v>1</v>
      </c>
      <c r="C379" s="7" t="str">
        <f>A379&amp;-B379</f>
        <v>GW23-1</v>
      </c>
      <c r="D379" s="1" t="str">
        <f>IFERROR(VLOOKUP(E379,[1]FINAL!$A$2:$J$699,MATCH("Pos",[1]FINAL!$A$1:$J$1,0),0),"")</f>
        <v/>
      </c>
      <c r="E379" s="4" t="str">
        <f>IFERROR(VLOOKUP($A379&amp;$E362,DATA!$F$1:$G$500,MATCH("FULL IN",DATA!$F$1:$G$1,0),0),$E362)</f>
        <v>Player Name</v>
      </c>
      <c r="G379" s="2" t="str">
        <f>IFERROR(VLOOKUP(E379,[1]FINAL!$A$2:$M$699,MATCH("Team",[1]FINAL!$A$1:$K$1,0),0),"")</f>
        <v/>
      </c>
      <c r="I379" s="4" t="str">
        <f>IFERROR(VLOOKUP($A379&amp;$E362,DATA!$F$1:$H$500,MATCH("FULL OUT",DATA!$F$1:$H$1,0),0),"")</f>
        <v/>
      </c>
    </row>
    <row r="380" spans="1:9" x14ac:dyDescent="0.25">
      <c r="A380" s="6" t="str">
        <f>A379</f>
        <v>GW23</v>
      </c>
      <c r="B380" s="7">
        <v>2</v>
      </c>
      <c r="C380" s="7" t="str">
        <f t="shared" ref="C380:C393" si="65">A380&amp;-B380</f>
        <v>GW23-2</v>
      </c>
      <c r="D380" s="1" t="str">
        <f>IFERROR(VLOOKUP(E380,[1]FINAL!$A$2:$J$699,MATCH("Pos",[1]FINAL!$A$1:$J$1,0),0),"")</f>
        <v/>
      </c>
      <c r="E380" s="4" t="str">
        <f>IFERROR(VLOOKUP($A380&amp;$E363,DATA!$F$1:$G$500,MATCH("FULL IN",DATA!$F$1:$G$1,0),0),$E363)</f>
        <v/>
      </c>
      <c r="F380" s="2" t="str">
        <f>IF(Z380="","","IN")</f>
        <v/>
      </c>
      <c r="G380" s="2" t="str">
        <f>IFERROR(VLOOKUP(E380,[1]FINAL!$A$2:$M$699,MATCH("Team",[1]FINAL!$A$1:$K$1,0),0),"")</f>
        <v/>
      </c>
      <c r="I380" s="4" t="str">
        <f>IFERROR(VLOOKUP($A380&amp;$E363,DATA!$F$1:$H$500,MATCH("FULL OUT",DATA!$F$1:$H$1,0),0),"")</f>
        <v/>
      </c>
    </row>
    <row r="381" spans="1:9" x14ac:dyDescent="0.25">
      <c r="A381" s="6" t="str">
        <f t="shared" ref="A381:A393" si="66">A380</f>
        <v>GW23</v>
      </c>
      <c r="B381" s="7">
        <v>3</v>
      </c>
      <c r="C381" s="7" t="str">
        <f t="shared" si="65"/>
        <v>GW23-3</v>
      </c>
      <c r="D381" s="1" t="str">
        <f>IFERROR(VLOOKUP(E381,[1]FINAL!$A$2:$J$699,MATCH("Pos",[1]FINAL!$A$1:$J$1,0),0),"")</f>
        <v/>
      </c>
      <c r="E381" s="4" t="str">
        <f>IFERROR(VLOOKUP($A381&amp;$E364,DATA!$F$1:$G$500,MATCH("FULL IN",DATA!$F$1:$G$1,0),0),$E364)</f>
        <v/>
      </c>
      <c r="F381" s="2" t="str">
        <f t="shared" ref="F381:F393" si="67">IF(Z381="","","IN")</f>
        <v/>
      </c>
      <c r="G381" s="2" t="str">
        <f>IFERROR(VLOOKUP(E381,[1]FINAL!$A$2:$M$699,MATCH("Team",[1]FINAL!$A$1:$K$1,0),0),"")</f>
        <v/>
      </c>
      <c r="I381" s="4" t="str">
        <f>IFERROR(VLOOKUP($A381&amp;$E364,DATA!$F$1:$H$500,MATCH("FULL OUT",DATA!$F$1:$H$1,0),0),"")</f>
        <v/>
      </c>
    </row>
    <row r="382" spans="1:9" x14ac:dyDescent="0.25">
      <c r="A382" s="6" t="str">
        <f t="shared" si="66"/>
        <v>GW23</v>
      </c>
      <c r="B382" s="7">
        <v>4</v>
      </c>
      <c r="C382" s="7" t="str">
        <f t="shared" si="65"/>
        <v>GW23-4</v>
      </c>
      <c r="D382" s="1" t="str">
        <f>IFERROR(VLOOKUP(E382,[1]FINAL!$A$2:$J$699,MATCH("Pos",[1]FINAL!$A$1:$J$1,0),0),"")</f>
        <v/>
      </c>
      <c r="E382" s="4" t="str">
        <f>IFERROR(VLOOKUP($A382&amp;$E365,DATA!$F$1:$G$500,MATCH("FULL IN",DATA!$F$1:$G$1,0),0),$E365)</f>
        <v/>
      </c>
      <c r="F382" s="2" t="str">
        <f t="shared" si="67"/>
        <v/>
      </c>
      <c r="G382" s="2" t="str">
        <f>IFERROR(VLOOKUP(E382,[1]FINAL!$A$2:$M$699,MATCH("Team",[1]FINAL!$A$1:$K$1,0),0),"")</f>
        <v/>
      </c>
      <c r="I382" s="4" t="str">
        <f>IFERROR(VLOOKUP($A382&amp;$E365,DATA!$F$1:$H$500,MATCH("FULL OUT",DATA!$F$1:$H$1,0),0),"")</f>
        <v/>
      </c>
    </row>
    <row r="383" spans="1:9" x14ac:dyDescent="0.25">
      <c r="A383" s="6" t="str">
        <f t="shared" si="66"/>
        <v>GW23</v>
      </c>
      <c r="B383" s="7">
        <v>5</v>
      </c>
      <c r="C383" s="7" t="str">
        <f t="shared" si="65"/>
        <v>GW23-5</v>
      </c>
      <c r="D383" s="1" t="str">
        <f>IFERROR(VLOOKUP(E383,[1]FINAL!$A$2:$J$699,MATCH("Pos",[1]FINAL!$A$1:$J$1,0),0),"")</f>
        <v/>
      </c>
      <c r="E383" s="4" t="str">
        <f>IFERROR(VLOOKUP($A383&amp;$E366,DATA!$F$1:$G$500,MATCH("FULL IN",DATA!$F$1:$G$1,0),0),$E366)</f>
        <v/>
      </c>
      <c r="F383" s="2" t="str">
        <f t="shared" si="67"/>
        <v/>
      </c>
      <c r="G383" s="2" t="str">
        <f>IFERROR(VLOOKUP(E383,[1]FINAL!$A$2:$M$699,MATCH("Team",[1]FINAL!$A$1:$K$1,0),0),"")</f>
        <v/>
      </c>
      <c r="I383" s="4" t="str">
        <f>IFERROR(VLOOKUP($A383&amp;$E366,DATA!$F$1:$H$500,MATCH("FULL OUT",DATA!$F$1:$H$1,0),0),"")</f>
        <v/>
      </c>
    </row>
    <row r="384" spans="1:9" x14ac:dyDescent="0.25">
      <c r="A384" s="6" t="str">
        <f t="shared" si="66"/>
        <v>GW23</v>
      </c>
      <c r="B384" s="7">
        <v>6</v>
      </c>
      <c r="C384" s="7" t="str">
        <f t="shared" si="65"/>
        <v>GW23-6</v>
      </c>
      <c r="D384" s="1" t="str">
        <f>IFERROR(VLOOKUP(E384,[1]FINAL!$A$2:$J$699,MATCH("Pos",[1]FINAL!$A$1:$J$1,0),0),"")</f>
        <v/>
      </c>
      <c r="E384" s="4" t="str">
        <f>IFERROR(VLOOKUP($A384&amp;$E367,DATA!$F$1:$G$500,MATCH("FULL IN",DATA!$F$1:$G$1,0),0),$E367)</f>
        <v/>
      </c>
      <c r="F384" s="2" t="str">
        <f t="shared" si="67"/>
        <v/>
      </c>
      <c r="G384" s="2" t="str">
        <f>IFERROR(VLOOKUP(E384,[1]FINAL!$A$2:$M$699,MATCH("Team",[1]FINAL!$A$1:$K$1,0),0),"")</f>
        <v/>
      </c>
      <c r="I384" s="4" t="str">
        <f>IFERROR(VLOOKUP($A384&amp;$E367,DATA!$F$1:$H$500,MATCH("FULL OUT",DATA!$F$1:$H$1,0),0),"")</f>
        <v/>
      </c>
    </row>
    <row r="385" spans="1:9" x14ac:dyDescent="0.25">
      <c r="A385" s="6" t="str">
        <f t="shared" si="66"/>
        <v>GW23</v>
      </c>
      <c r="B385" s="7">
        <v>7</v>
      </c>
      <c r="C385" s="7" t="str">
        <f t="shared" si="65"/>
        <v>GW23-7</v>
      </c>
      <c r="D385" s="1" t="str">
        <f>IFERROR(VLOOKUP(E385,[1]FINAL!$A$2:$J$699,MATCH("Pos",[1]FINAL!$A$1:$J$1,0),0),"")</f>
        <v/>
      </c>
      <c r="E385" s="4" t="str">
        <f>IFERROR(VLOOKUP($A385&amp;$E368,DATA!$F$1:$G$500,MATCH("FULL IN",DATA!$F$1:$G$1,0),0),$E368)</f>
        <v/>
      </c>
      <c r="F385" s="2" t="str">
        <f t="shared" si="67"/>
        <v/>
      </c>
      <c r="G385" s="2" t="str">
        <f>IFERROR(VLOOKUP(E385,[1]FINAL!$A$2:$M$699,MATCH("Team",[1]FINAL!$A$1:$K$1,0),0),"")</f>
        <v/>
      </c>
      <c r="I385" s="4" t="str">
        <f>IFERROR(VLOOKUP($A385&amp;$E368,DATA!$F$1:$H$500,MATCH("FULL OUT",DATA!$F$1:$H$1,0),0),"")</f>
        <v/>
      </c>
    </row>
    <row r="386" spans="1:9" x14ac:dyDescent="0.25">
      <c r="A386" s="6" t="str">
        <f t="shared" si="66"/>
        <v>GW23</v>
      </c>
      <c r="B386" s="7">
        <v>8</v>
      </c>
      <c r="C386" s="7" t="str">
        <f t="shared" si="65"/>
        <v>GW23-8</v>
      </c>
      <c r="D386" s="1" t="str">
        <f>IFERROR(VLOOKUP(E386,[1]FINAL!$A$2:$J$699,MATCH("Pos",[1]FINAL!$A$1:$J$1,0),0),"")</f>
        <v/>
      </c>
      <c r="E386" s="4" t="str">
        <f>IFERROR(VLOOKUP($A386&amp;$E369,DATA!$F$1:$G$500,MATCH("FULL IN",DATA!$F$1:$G$1,0),0),$E369)</f>
        <v/>
      </c>
      <c r="F386" s="2" t="str">
        <f t="shared" si="67"/>
        <v/>
      </c>
      <c r="G386" s="2" t="str">
        <f>IFERROR(VLOOKUP(E386,[1]FINAL!$A$2:$M$699,MATCH("Team",[1]FINAL!$A$1:$K$1,0),0),"")</f>
        <v/>
      </c>
      <c r="I386" s="4" t="str">
        <f>IFERROR(VLOOKUP($A386&amp;$E369,DATA!$F$1:$H$500,MATCH("FULL OUT",DATA!$F$1:$H$1,0),0),"")</f>
        <v/>
      </c>
    </row>
    <row r="387" spans="1:9" x14ac:dyDescent="0.25">
      <c r="A387" s="6" t="str">
        <f t="shared" si="66"/>
        <v>GW23</v>
      </c>
      <c r="B387" s="7">
        <v>9</v>
      </c>
      <c r="C387" s="7" t="str">
        <f t="shared" si="65"/>
        <v>GW23-9</v>
      </c>
      <c r="D387" s="1" t="str">
        <f>IFERROR(VLOOKUP(E387,[1]FINAL!$A$2:$J$699,MATCH("Pos",[1]FINAL!$A$1:$J$1,0),0),"")</f>
        <v/>
      </c>
      <c r="E387" s="4" t="str">
        <f>IFERROR(VLOOKUP($A387&amp;$E370,DATA!$F$1:$G$500,MATCH("FULL IN",DATA!$F$1:$G$1,0),0),$E370)</f>
        <v/>
      </c>
      <c r="F387" s="2" t="str">
        <f t="shared" si="67"/>
        <v/>
      </c>
      <c r="G387" s="2" t="str">
        <f>IFERROR(VLOOKUP(E387,[1]FINAL!$A$2:$M$699,MATCH("Team",[1]FINAL!$A$1:$K$1,0),0),"")</f>
        <v/>
      </c>
      <c r="I387" s="4" t="str">
        <f>IFERROR(VLOOKUP($A387&amp;$E370,DATA!$F$1:$H$500,MATCH("FULL OUT",DATA!$F$1:$H$1,0),0),"")</f>
        <v/>
      </c>
    </row>
    <row r="388" spans="1:9" x14ac:dyDescent="0.25">
      <c r="A388" s="6" t="str">
        <f t="shared" si="66"/>
        <v>GW23</v>
      </c>
      <c r="B388" s="7">
        <v>10</v>
      </c>
      <c r="C388" s="7" t="str">
        <f t="shared" si="65"/>
        <v>GW23-10</v>
      </c>
      <c r="D388" s="1" t="str">
        <f>IFERROR(VLOOKUP(E388,[1]FINAL!$A$2:$J$699,MATCH("Pos",[1]FINAL!$A$1:$J$1,0),0),"")</f>
        <v/>
      </c>
      <c r="E388" s="4" t="str">
        <f>IFERROR(VLOOKUP($A388&amp;$E371,DATA!$F$1:$G$500,MATCH("FULL IN",DATA!$F$1:$G$1,0),0),$E371)</f>
        <v/>
      </c>
      <c r="F388" s="2" t="str">
        <f t="shared" si="67"/>
        <v/>
      </c>
      <c r="G388" s="2" t="str">
        <f>IFERROR(VLOOKUP(E388,[1]FINAL!$A$2:$M$699,MATCH("Team",[1]FINAL!$A$1:$K$1,0),0),"")</f>
        <v/>
      </c>
      <c r="I388" s="4" t="str">
        <f>IFERROR(VLOOKUP($A388&amp;$E371,DATA!$F$1:$H$500,MATCH("FULL OUT",DATA!$F$1:$H$1,0),0),"")</f>
        <v/>
      </c>
    </row>
    <row r="389" spans="1:9" x14ac:dyDescent="0.25">
      <c r="A389" s="6" t="str">
        <f t="shared" si="66"/>
        <v>GW23</v>
      </c>
      <c r="B389" s="7">
        <v>11</v>
      </c>
      <c r="C389" s="7" t="str">
        <f t="shared" si="65"/>
        <v>GW23-11</v>
      </c>
      <c r="D389" s="1" t="str">
        <f>IFERROR(VLOOKUP(E389,[1]FINAL!$A$2:$J$699,MATCH("Pos",[1]FINAL!$A$1:$J$1,0),0),"")</f>
        <v/>
      </c>
      <c r="E389" s="4" t="str">
        <f>IFERROR(VLOOKUP($A389&amp;$E372,DATA!$F$1:$G$500,MATCH("FULL IN",DATA!$F$1:$G$1,0),0),$E372)</f>
        <v/>
      </c>
      <c r="F389" s="2" t="str">
        <f t="shared" si="67"/>
        <v/>
      </c>
      <c r="G389" s="2" t="str">
        <f>IFERROR(VLOOKUP(E389,[1]FINAL!$A$2:$M$699,MATCH("Team",[1]FINAL!$A$1:$K$1,0),0),"")</f>
        <v/>
      </c>
      <c r="I389" s="4" t="str">
        <f>IFERROR(VLOOKUP($A389&amp;$E372,DATA!$F$1:$H$500,MATCH("FULL OUT",DATA!$F$1:$H$1,0),0),"")</f>
        <v/>
      </c>
    </row>
    <row r="390" spans="1:9" x14ac:dyDescent="0.25">
      <c r="A390" s="6" t="str">
        <f t="shared" si="66"/>
        <v>GW23</v>
      </c>
      <c r="B390" s="7">
        <v>12</v>
      </c>
      <c r="C390" s="7" t="str">
        <f t="shared" si="65"/>
        <v>GW23-12</v>
      </c>
      <c r="D390" s="1" t="str">
        <f>IFERROR(VLOOKUP(E390,[1]FINAL!$A$2:$J$699,MATCH("Pos",[1]FINAL!$A$1:$J$1,0),0),"")</f>
        <v/>
      </c>
      <c r="E390" s="4" t="str">
        <f>IFERROR(VLOOKUP($A390&amp;$E373,DATA!$F$1:$G$500,MATCH("FULL IN",DATA!$F$1:$G$1,0),0),$E373)</f>
        <v/>
      </c>
      <c r="F390" s="2" t="str">
        <f t="shared" si="67"/>
        <v/>
      </c>
      <c r="G390" s="2" t="str">
        <f>IFERROR(VLOOKUP(E390,[1]FINAL!$A$2:$M$699,MATCH("Team",[1]FINAL!$A$1:$K$1,0),0),"")</f>
        <v/>
      </c>
      <c r="I390" s="4" t="str">
        <f>IFERROR(VLOOKUP($A390&amp;$E373,DATA!$F$1:$H$500,MATCH("FULL OUT",DATA!$F$1:$H$1,0),0),"")</f>
        <v/>
      </c>
    </row>
    <row r="391" spans="1:9" x14ac:dyDescent="0.25">
      <c r="A391" s="6" t="str">
        <f t="shared" si="66"/>
        <v>GW23</v>
      </c>
      <c r="B391" s="7">
        <v>13</v>
      </c>
      <c r="C391" s="7" t="str">
        <f t="shared" si="65"/>
        <v>GW23-13</v>
      </c>
      <c r="D391" s="1" t="str">
        <f>IFERROR(VLOOKUP(E391,[1]FINAL!$A$2:$J$699,MATCH("Pos",[1]FINAL!$A$1:$J$1,0),0),"")</f>
        <v/>
      </c>
      <c r="E391" s="4" t="str">
        <f>IFERROR(VLOOKUP($A391&amp;$E374,DATA!$F$1:$G$500,MATCH("FULL IN",DATA!$F$1:$G$1,0),0),$E374)</f>
        <v/>
      </c>
      <c r="F391" s="2" t="str">
        <f t="shared" si="67"/>
        <v/>
      </c>
      <c r="G391" s="2" t="str">
        <f>IFERROR(VLOOKUP(E391,[1]FINAL!$A$2:$M$699,MATCH("Team",[1]FINAL!$A$1:$K$1,0),0),"")</f>
        <v/>
      </c>
      <c r="I391" s="4" t="str">
        <f>IFERROR(VLOOKUP($A391&amp;$E374,DATA!$F$1:$H$500,MATCH("FULL OUT",DATA!$F$1:$H$1,0),0),"")</f>
        <v/>
      </c>
    </row>
    <row r="392" spans="1:9" x14ac:dyDescent="0.25">
      <c r="A392" s="6" t="str">
        <f t="shared" si="66"/>
        <v>GW23</v>
      </c>
      <c r="B392" s="7">
        <v>14</v>
      </c>
      <c r="C392" s="7" t="str">
        <f t="shared" si="65"/>
        <v>GW23-14</v>
      </c>
      <c r="D392" s="1" t="str">
        <f>IFERROR(VLOOKUP(E392,[1]FINAL!$A$2:$J$699,MATCH("Pos",[1]FINAL!$A$1:$J$1,0),0),"")</f>
        <v/>
      </c>
      <c r="E392" s="4" t="str">
        <f>IFERROR(VLOOKUP($A392&amp;$E375,DATA!$F$1:$G$500,MATCH("FULL IN",DATA!$F$1:$G$1,0),0),$E375)</f>
        <v/>
      </c>
      <c r="F392" s="2" t="str">
        <f t="shared" si="67"/>
        <v/>
      </c>
      <c r="G392" s="2" t="str">
        <f>IFERROR(VLOOKUP(E392,[1]FINAL!$A$2:$M$699,MATCH("Team",[1]FINAL!$A$1:$K$1,0),0),"")</f>
        <v/>
      </c>
      <c r="I392" s="4" t="str">
        <f>IFERROR(VLOOKUP($A392&amp;$E375,DATA!$F$1:$H$500,MATCH("FULL OUT",DATA!$F$1:$H$1,0),0),"")</f>
        <v/>
      </c>
    </row>
    <row r="393" spans="1:9" x14ac:dyDescent="0.25">
      <c r="A393" s="6" t="str">
        <f t="shared" si="66"/>
        <v>GW23</v>
      </c>
      <c r="B393" s="7">
        <v>15</v>
      </c>
      <c r="C393" s="7" t="str">
        <f t="shared" si="65"/>
        <v>GW23-15</v>
      </c>
      <c r="D393" s="1" t="str">
        <f>IFERROR(VLOOKUP(E393,[1]FINAL!$A$2:$J$699,MATCH("Pos",[1]FINAL!$A$1:$J$1,0),0),"")</f>
        <v/>
      </c>
      <c r="E393" s="4" t="str">
        <f>IFERROR(VLOOKUP($A393&amp;$E376,DATA!$F$1:$G$500,MATCH("FULL IN",DATA!$F$1:$G$1,0),0),$E376)</f>
        <v/>
      </c>
      <c r="F393" s="2" t="str">
        <f t="shared" si="67"/>
        <v/>
      </c>
      <c r="G393" s="2" t="str">
        <f>IFERROR(VLOOKUP(E393,[1]FINAL!$A$2:$M$699,MATCH("Team",[1]FINAL!$A$1:$K$1,0),0),"")</f>
        <v/>
      </c>
      <c r="I393" s="4" t="str">
        <f>IFERROR(VLOOKUP($A393&amp;$E376,DATA!$F$1:$H$500,MATCH("FULL OUT",DATA!$F$1:$H$1,0),0),"")</f>
        <v/>
      </c>
    </row>
    <row r="396" spans="1:9" x14ac:dyDescent="0.25">
      <c r="A396" s="6" t="s">
        <v>26</v>
      </c>
      <c r="B396" s="7">
        <v>1</v>
      </c>
      <c r="C396" s="7" t="str">
        <f>A396&amp;-B396</f>
        <v>GW24-1</v>
      </c>
      <c r="D396" s="1" t="str">
        <f>IFERROR(VLOOKUP(E396,[1]FINAL!$A$2:$J$699,MATCH("Pos",[1]FINAL!$A$1:$J$1,0),0),"")</f>
        <v/>
      </c>
      <c r="E396" s="4" t="str">
        <f>IFERROR(VLOOKUP($A396&amp;$E379,DATA!$F$1:$G$500,MATCH("FULL IN",DATA!$F$1:$G$1,0),0),$E379)</f>
        <v>Player Name</v>
      </c>
      <c r="G396" s="2" t="str">
        <f>IFERROR(VLOOKUP(E396,[1]FINAL!$A$2:$M$699,MATCH("Team",[1]FINAL!$A$1:$K$1,0),0),"")</f>
        <v/>
      </c>
      <c r="I396" s="4" t="str">
        <f>IFERROR(VLOOKUP($A396&amp;$E379,DATA!$F$1:$H$500,MATCH("FULL OUT",DATA!$F$1:$H$1,0),0),"")</f>
        <v/>
      </c>
    </row>
    <row r="397" spans="1:9" x14ac:dyDescent="0.25">
      <c r="A397" s="6" t="str">
        <f>A396</f>
        <v>GW24</v>
      </c>
      <c r="B397" s="7">
        <v>2</v>
      </c>
      <c r="C397" s="7" t="str">
        <f t="shared" ref="C397:C410" si="68">A397&amp;-B397</f>
        <v>GW24-2</v>
      </c>
      <c r="D397" s="1" t="str">
        <f>IFERROR(VLOOKUP(E397,[1]FINAL!$A$2:$J$699,MATCH("Pos",[1]FINAL!$A$1:$J$1,0),0),"")</f>
        <v/>
      </c>
      <c r="E397" s="4" t="str">
        <f>IFERROR(VLOOKUP($A397&amp;$E380,DATA!$F$1:$G$500,MATCH("FULL IN",DATA!$F$1:$G$1,0),0),$E380)</f>
        <v/>
      </c>
      <c r="F397" s="2" t="str">
        <f>IF(Z397="","","IN")</f>
        <v/>
      </c>
      <c r="G397" s="2" t="str">
        <f>IFERROR(VLOOKUP(E397,[1]FINAL!$A$2:$M$699,MATCH("Team",[1]FINAL!$A$1:$K$1,0),0),"")</f>
        <v/>
      </c>
      <c r="I397" s="4" t="str">
        <f>IFERROR(VLOOKUP($A397&amp;$E380,DATA!$F$1:$H$500,MATCH("FULL OUT",DATA!$F$1:$H$1,0),0),"")</f>
        <v/>
      </c>
    </row>
    <row r="398" spans="1:9" x14ac:dyDescent="0.25">
      <c r="A398" s="6" t="str">
        <f t="shared" ref="A398:A410" si="69">A397</f>
        <v>GW24</v>
      </c>
      <c r="B398" s="7">
        <v>3</v>
      </c>
      <c r="C398" s="7" t="str">
        <f t="shared" si="68"/>
        <v>GW24-3</v>
      </c>
      <c r="D398" s="1" t="str">
        <f>IFERROR(VLOOKUP(E398,[1]FINAL!$A$2:$J$699,MATCH("Pos",[1]FINAL!$A$1:$J$1,0),0),"")</f>
        <v/>
      </c>
      <c r="E398" s="4" t="str">
        <f>IFERROR(VLOOKUP($A398&amp;$E381,DATA!$F$1:$G$500,MATCH("FULL IN",DATA!$F$1:$G$1,0),0),$E381)</f>
        <v/>
      </c>
      <c r="F398" s="2" t="str">
        <f t="shared" ref="F398:F410" si="70">IF(Z398="","","IN")</f>
        <v/>
      </c>
      <c r="G398" s="2" t="str">
        <f>IFERROR(VLOOKUP(E398,[1]FINAL!$A$2:$M$699,MATCH("Team",[1]FINAL!$A$1:$K$1,0),0),"")</f>
        <v/>
      </c>
      <c r="I398" s="4" t="str">
        <f>IFERROR(VLOOKUP($A398&amp;$E381,DATA!$F$1:$H$500,MATCH("FULL OUT",DATA!$F$1:$H$1,0),0),"")</f>
        <v/>
      </c>
    </row>
    <row r="399" spans="1:9" x14ac:dyDescent="0.25">
      <c r="A399" s="6" t="str">
        <f t="shared" si="69"/>
        <v>GW24</v>
      </c>
      <c r="B399" s="7">
        <v>4</v>
      </c>
      <c r="C399" s="7" t="str">
        <f t="shared" si="68"/>
        <v>GW24-4</v>
      </c>
      <c r="D399" s="1" t="str">
        <f>IFERROR(VLOOKUP(E399,[1]FINAL!$A$2:$J$699,MATCH("Pos",[1]FINAL!$A$1:$J$1,0),0),"")</f>
        <v/>
      </c>
      <c r="E399" s="4" t="str">
        <f>IFERROR(VLOOKUP($A399&amp;$E382,DATA!$F$1:$G$500,MATCH("FULL IN",DATA!$F$1:$G$1,0),0),$E382)</f>
        <v/>
      </c>
      <c r="F399" s="2" t="str">
        <f t="shared" si="70"/>
        <v/>
      </c>
      <c r="G399" s="2" t="str">
        <f>IFERROR(VLOOKUP(E399,[1]FINAL!$A$2:$M$699,MATCH("Team",[1]FINAL!$A$1:$K$1,0),0),"")</f>
        <v/>
      </c>
      <c r="I399" s="4" t="str">
        <f>IFERROR(VLOOKUP($A399&amp;$E382,DATA!$F$1:$H$500,MATCH("FULL OUT",DATA!$F$1:$H$1,0),0),"")</f>
        <v/>
      </c>
    </row>
    <row r="400" spans="1:9" x14ac:dyDescent="0.25">
      <c r="A400" s="6" t="str">
        <f t="shared" si="69"/>
        <v>GW24</v>
      </c>
      <c r="B400" s="7">
        <v>5</v>
      </c>
      <c r="C400" s="7" t="str">
        <f t="shared" si="68"/>
        <v>GW24-5</v>
      </c>
      <c r="D400" s="1" t="str">
        <f>IFERROR(VLOOKUP(E400,[1]FINAL!$A$2:$J$699,MATCH("Pos",[1]FINAL!$A$1:$J$1,0),0),"")</f>
        <v/>
      </c>
      <c r="E400" s="4" t="str">
        <f>IFERROR(VLOOKUP($A400&amp;$E383,DATA!$F$1:$G$500,MATCH("FULL IN",DATA!$F$1:$G$1,0),0),$E383)</f>
        <v/>
      </c>
      <c r="F400" s="2" t="str">
        <f t="shared" si="70"/>
        <v/>
      </c>
      <c r="G400" s="2" t="str">
        <f>IFERROR(VLOOKUP(E400,[1]FINAL!$A$2:$M$699,MATCH("Team",[1]FINAL!$A$1:$K$1,0),0),"")</f>
        <v/>
      </c>
      <c r="I400" s="4" t="str">
        <f>IFERROR(VLOOKUP($A400&amp;$E383,DATA!$F$1:$H$500,MATCH("FULL OUT",DATA!$F$1:$H$1,0),0),"")</f>
        <v/>
      </c>
    </row>
    <row r="401" spans="1:9" x14ac:dyDescent="0.25">
      <c r="A401" s="6" t="str">
        <f t="shared" si="69"/>
        <v>GW24</v>
      </c>
      <c r="B401" s="7">
        <v>6</v>
      </c>
      <c r="C401" s="7" t="str">
        <f t="shared" si="68"/>
        <v>GW24-6</v>
      </c>
      <c r="D401" s="1" t="str">
        <f>IFERROR(VLOOKUP(E401,[1]FINAL!$A$2:$J$699,MATCH("Pos",[1]FINAL!$A$1:$J$1,0),0),"")</f>
        <v/>
      </c>
      <c r="E401" s="4" t="str">
        <f>IFERROR(VLOOKUP($A401&amp;$E384,DATA!$F$1:$G$500,MATCH("FULL IN",DATA!$F$1:$G$1,0),0),$E384)</f>
        <v/>
      </c>
      <c r="F401" s="2" t="str">
        <f t="shared" si="70"/>
        <v/>
      </c>
      <c r="G401" s="2" t="str">
        <f>IFERROR(VLOOKUP(E401,[1]FINAL!$A$2:$M$699,MATCH("Team",[1]FINAL!$A$1:$K$1,0),0),"")</f>
        <v/>
      </c>
      <c r="I401" s="4" t="str">
        <f>IFERROR(VLOOKUP($A401&amp;$E384,DATA!$F$1:$H$500,MATCH("FULL OUT",DATA!$F$1:$H$1,0),0),"")</f>
        <v/>
      </c>
    </row>
    <row r="402" spans="1:9" x14ac:dyDescent="0.25">
      <c r="A402" s="6" t="str">
        <f t="shared" si="69"/>
        <v>GW24</v>
      </c>
      <c r="B402" s="7">
        <v>7</v>
      </c>
      <c r="C402" s="7" t="str">
        <f t="shared" si="68"/>
        <v>GW24-7</v>
      </c>
      <c r="D402" s="1" t="str">
        <f>IFERROR(VLOOKUP(E402,[1]FINAL!$A$2:$J$699,MATCH("Pos",[1]FINAL!$A$1:$J$1,0),0),"")</f>
        <v/>
      </c>
      <c r="E402" s="4" t="str">
        <f>IFERROR(VLOOKUP($A402&amp;$E385,DATA!$F$1:$G$500,MATCH("FULL IN",DATA!$F$1:$G$1,0),0),$E385)</f>
        <v/>
      </c>
      <c r="F402" s="2" t="str">
        <f t="shared" si="70"/>
        <v/>
      </c>
      <c r="G402" s="2" t="str">
        <f>IFERROR(VLOOKUP(E402,[1]FINAL!$A$2:$M$699,MATCH("Team",[1]FINAL!$A$1:$K$1,0),0),"")</f>
        <v/>
      </c>
      <c r="I402" s="4" t="str">
        <f>IFERROR(VLOOKUP($A402&amp;$E385,DATA!$F$1:$H$500,MATCH("FULL OUT",DATA!$F$1:$H$1,0),0),"")</f>
        <v/>
      </c>
    </row>
    <row r="403" spans="1:9" x14ac:dyDescent="0.25">
      <c r="A403" s="6" t="str">
        <f t="shared" si="69"/>
        <v>GW24</v>
      </c>
      <c r="B403" s="7">
        <v>8</v>
      </c>
      <c r="C403" s="7" t="str">
        <f t="shared" si="68"/>
        <v>GW24-8</v>
      </c>
      <c r="D403" s="1" t="str">
        <f>IFERROR(VLOOKUP(E403,[1]FINAL!$A$2:$J$699,MATCH("Pos",[1]FINAL!$A$1:$J$1,0),0),"")</f>
        <v/>
      </c>
      <c r="E403" s="4" t="str">
        <f>IFERROR(VLOOKUP($A403&amp;$E386,DATA!$F$1:$G$500,MATCH("FULL IN",DATA!$F$1:$G$1,0),0),$E386)</f>
        <v/>
      </c>
      <c r="F403" s="2" t="str">
        <f t="shared" si="70"/>
        <v/>
      </c>
      <c r="G403" s="2" t="str">
        <f>IFERROR(VLOOKUP(E403,[1]FINAL!$A$2:$M$699,MATCH("Team",[1]FINAL!$A$1:$K$1,0),0),"")</f>
        <v/>
      </c>
      <c r="I403" s="4" t="str">
        <f>IFERROR(VLOOKUP($A403&amp;$E386,DATA!$F$1:$H$500,MATCH("FULL OUT",DATA!$F$1:$H$1,0),0),"")</f>
        <v/>
      </c>
    </row>
    <row r="404" spans="1:9" x14ac:dyDescent="0.25">
      <c r="A404" s="6" t="str">
        <f t="shared" si="69"/>
        <v>GW24</v>
      </c>
      <c r="B404" s="7">
        <v>9</v>
      </c>
      <c r="C404" s="7" t="str">
        <f t="shared" si="68"/>
        <v>GW24-9</v>
      </c>
      <c r="D404" s="1" t="str">
        <f>IFERROR(VLOOKUP(E404,[1]FINAL!$A$2:$J$699,MATCH("Pos",[1]FINAL!$A$1:$J$1,0),0),"")</f>
        <v/>
      </c>
      <c r="E404" s="4" t="str">
        <f>IFERROR(VLOOKUP($A404&amp;$E387,DATA!$F$1:$G$500,MATCH("FULL IN",DATA!$F$1:$G$1,0),0),$E387)</f>
        <v/>
      </c>
      <c r="F404" s="2" t="str">
        <f t="shared" si="70"/>
        <v/>
      </c>
      <c r="G404" s="2" t="str">
        <f>IFERROR(VLOOKUP(E404,[1]FINAL!$A$2:$M$699,MATCH("Team",[1]FINAL!$A$1:$K$1,0),0),"")</f>
        <v/>
      </c>
      <c r="I404" s="4" t="str">
        <f>IFERROR(VLOOKUP($A404&amp;$E387,DATA!$F$1:$H$500,MATCH("FULL OUT",DATA!$F$1:$H$1,0),0),"")</f>
        <v/>
      </c>
    </row>
    <row r="405" spans="1:9" x14ac:dyDescent="0.25">
      <c r="A405" s="6" t="str">
        <f t="shared" si="69"/>
        <v>GW24</v>
      </c>
      <c r="B405" s="7">
        <v>10</v>
      </c>
      <c r="C405" s="7" t="str">
        <f t="shared" si="68"/>
        <v>GW24-10</v>
      </c>
      <c r="D405" s="1" t="str">
        <f>IFERROR(VLOOKUP(E405,[1]FINAL!$A$2:$J$699,MATCH("Pos",[1]FINAL!$A$1:$J$1,0),0),"")</f>
        <v/>
      </c>
      <c r="E405" s="4" t="str">
        <f>IFERROR(VLOOKUP($A405&amp;$E388,DATA!$F$1:$G$500,MATCH("FULL IN",DATA!$F$1:$G$1,0),0),$E388)</f>
        <v/>
      </c>
      <c r="F405" s="2" t="str">
        <f t="shared" si="70"/>
        <v/>
      </c>
      <c r="G405" s="2" t="str">
        <f>IFERROR(VLOOKUP(E405,[1]FINAL!$A$2:$M$699,MATCH("Team",[1]FINAL!$A$1:$K$1,0),0),"")</f>
        <v/>
      </c>
      <c r="I405" s="4" t="str">
        <f>IFERROR(VLOOKUP($A405&amp;$E388,DATA!$F$1:$H$500,MATCH("FULL OUT",DATA!$F$1:$H$1,0),0),"")</f>
        <v/>
      </c>
    </row>
    <row r="406" spans="1:9" x14ac:dyDescent="0.25">
      <c r="A406" s="6" t="str">
        <f t="shared" si="69"/>
        <v>GW24</v>
      </c>
      <c r="B406" s="7">
        <v>11</v>
      </c>
      <c r="C406" s="7" t="str">
        <f t="shared" si="68"/>
        <v>GW24-11</v>
      </c>
      <c r="D406" s="1" t="str">
        <f>IFERROR(VLOOKUP(E406,[1]FINAL!$A$2:$J$699,MATCH("Pos",[1]FINAL!$A$1:$J$1,0),0),"")</f>
        <v/>
      </c>
      <c r="E406" s="4" t="str">
        <f>IFERROR(VLOOKUP($A406&amp;$E389,DATA!$F$1:$G$500,MATCH("FULL IN",DATA!$F$1:$G$1,0),0),$E389)</f>
        <v/>
      </c>
      <c r="F406" s="2" t="str">
        <f t="shared" si="70"/>
        <v/>
      </c>
      <c r="G406" s="2" t="str">
        <f>IFERROR(VLOOKUP(E406,[1]FINAL!$A$2:$M$699,MATCH("Team",[1]FINAL!$A$1:$K$1,0),0),"")</f>
        <v/>
      </c>
      <c r="I406" s="4" t="str">
        <f>IFERROR(VLOOKUP($A406&amp;$E389,DATA!$F$1:$H$500,MATCH("FULL OUT",DATA!$F$1:$H$1,0),0),"")</f>
        <v/>
      </c>
    </row>
    <row r="407" spans="1:9" x14ac:dyDescent="0.25">
      <c r="A407" s="6" t="str">
        <f t="shared" si="69"/>
        <v>GW24</v>
      </c>
      <c r="B407" s="7">
        <v>12</v>
      </c>
      <c r="C407" s="7" t="str">
        <f t="shared" si="68"/>
        <v>GW24-12</v>
      </c>
      <c r="D407" s="1" t="str">
        <f>IFERROR(VLOOKUP(E407,[1]FINAL!$A$2:$J$699,MATCH("Pos",[1]FINAL!$A$1:$J$1,0),0),"")</f>
        <v/>
      </c>
      <c r="E407" s="4" t="str">
        <f>IFERROR(VLOOKUP($A407&amp;$E390,DATA!$F$1:$G$500,MATCH("FULL IN",DATA!$F$1:$G$1,0),0),$E390)</f>
        <v/>
      </c>
      <c r="F407" s="2" t="str">
        <f t="shared" si="70"/>
        <v/>
      </c>
      <c r="G407" s="2" t="str">
        <f>IFERROR(VLOOKUP(E407,[1]FINAL!$A$2:$M$699,MATCH("Team",[1]FINAL!$A$1:$K$1,0),0),"")</f>
        <v/>
      </c>
      <c r="I407" s="4" t="str">
        <f>IFERROR(VLOOKUP($A407&amp;$E390,DATA!$F$1:$H$500,MATCH("FULL OUT",DATA!$F$1:$H$1,0),0),"")</f>
        <v/>
      </c>
    </row>
    <row r="408" spans="1:9" x14ac:dyDescent="0.25">
      <c r="A408" s="6" t="str">
        <f t="shared" si="69"/>
        <v>GW24</v>
      </c>
      <c r="B408" s="7">
        <v>13</v>
      </c>
      <c r="C408" s="7" t="str">
        <f t="shared" si="68"/>
        <v>GW24-13</v>
      </c>
      <c r="D408" s="1" t="str">
        <f>IFERROR(VLOOKUP(E408,[1]FINAL!$A$2:$J$699,MATCH("Pos",[1]FINAL!$A$1:$J$1,0),0),"")</f>
        <v/>
      </c>
      <c r="E408" s="4" t="str">
        <f>IFERROR(VLOOKUP($A408&amp;$E391,DATA!$F$1:$G$500,MATCH("FULL IN",DATA!$F$1:$G$1,0),0),$E391)</f>
        <v/>
      </c>
      <c r="F408" s="2" t="str">
        <f t="shared" si="70"/>
        <v/>
      </c>
      <c r="G408" s="2" t="str">
        <f>IFERROR(VLOOKUP(E408,[1]FINAL!$A$2:$M$699,MATCH("Team",[1]FINAL!$A$1:$K$1,0),0),"")</f>
        <v/>
      </c>
      <c r="I408" s="4" t="str">
        <f>IFERROR(VLOOKUP($A408&amp;$E391,DATA!$F$1:$H$500,MATCH("FULL OUT",DATA!$F$1:$H$1,0),0),"")</f>
        <v/>
      </c>
    </row>
    <row r="409" spans="1:9" x14ac:dyDescent="0.25">
      <c r="A409" s="6" t="str">
        <f t="shared" si="69"/>
        <v>GW24</v>
      </c>
      <c r="B409" s="7">
        <v>14</v>
      </c>
      <c r="C409" s="7" t="str">
        <f t="shared" si="68"/>
        <v>GW24-14</v>
      </c>
      <c r="D409" s="1" t="str">
        <f>IFERROR(VLOOKUP(E409,[1]FINAL!$A$2:$J$699,MATCH("Pos",[1]FINAL!$A$1:$J$1,0),0),"")</f>
        <v/>
      </c>
      <c r="E409" s="4" t="str">
        <f>IFERROR(VLOOKUP($A409&amp;$E392,DATA!$F$1:$G$500,MATCH("FULL IN",DATA!$F$1:$G$1,0),0),$E392)</f>
        <v/>
      </c>
      <c r="F409" s="2" t="str">
        <f t="shared" si="70"/>
        <v/>
      </c>
      <c r="G409" s="2" t="str">
        <f>IFERROR(VLOOKUP(E409,[1]FINAL!$A$2:$M$699,MATCH("Team",[1]FINAL!$A$1:$K$1,0),0),"")</f>
        <v/>
      </c>
      <c r="I409" s="4" t="str">
        <f>IFERROR(VLOOKUP($A409&amp;$E392,DATA!$F$1:$H$500,MATCH("FULL OUT",DATA!$F$1:$H$1,0),0),"")</f>
        <v/>
      </c>
    </row>
    <row r="410" spans="1:9" x14ac:dyDescent="0.25">
      <c r="A410" s="6" t="str">
        <f t="shared" si="69"/>
        <v>GW24</v>
      </c>
      <c r="B410" s="7">
        <v>15</v>
      </c>
      <c r="C410" s="7" t="str">
        <f t="shared" si="68"/>
        <v>GW24-15</v>
      </c>
      <c r="D410" s="1" t="str">
        <f>IFERROR(VLOOKUP(E410,[1]FINAL!$A$2:$J$699,MATCH("Pos",[1]FINAL!$A$1:$J$1,0),0),"")</f>
        <v/>
      </c>
      <c r="E410" s="4" t="str">
        <f>IFERROR(VLOOKUP($A410&amp;$E393,DATA!$F$1:$G$500,MATCH("FULL IN",DATA!$F$1:$G$1,0),0),$E393)</f>
        <v/>
      </c>
      <c r="F410" s="2" t="str">
        <f t="shared" si="70"/>
        <v/>
      </c>
      <c r="G410" s="2" t="str">
        <f>IFERROR(VLOOKUP(E410,[1]FINAL!$A$2:$M$699,MATCH("Team",[1]FINAL!$A$1:$K$1,0),0),"")</f>
        <v/>
      </c>
      <c r="I410" s="4" t="str">
        <f>IFERROR(VLOOKUP($A410&amp;$E393,DATA!$F$1:$H$500,MATCH("FULL OUT",DATA!$F$1:$H$1,0),0),"")</f>
        <v/>
      </c>
    </row>
    <row r="413" spans="1:9" x14ac:dyDescent="0.25">
      <c r="A413" s="6" t="s">
        <v>27</v>
      </c>
      <c r="B413" s="7">
        <v>1</v>
      </c>
      <c r="C413" s="7" t="str">
        <f>A413&amp;-B413</f>
        <v>GW25-1</v>
      </c>
      <c r="D413" s="1" t="str">
        <f>IFERROR(VLOOKUP(E413,[1]FINAL!$A$2:$J$699,MATCH("Pos",[1]FINAL!$A$1:$J$1,0),0),"")</f>
        <v/>
      </c>
      <c r="E413" s="4" t="str">
        <f>IFERROR(VLOOKUP($A413&amp;$E396,DATA!$F$1:$G$500,MATCH("FULL IN",DATA!$F$1:$G$1,0),0),$E396)</f>
        <v>Player Name</v>
      </c>
      <c r="G413" s="2" t="str">
        <f>IFERROR(VLOOKUP(E413,[1]FINAL!$A$2:$M$699,MATCH("Team",[1]FINAL!$A$1:$K$1,0),0),"")</f>
        <v/>
      </c>
      <c r="I413" s="4" t="str">
        <f>IFERROR(VLOOKUP($A413&amp;$E396,DATA!$F$1:$H$500,MATCH("FULL OUT",DATA!$F$1:$H$1,0),0),"")</f>
        <v/>
      </c>
    </row>
    <row r="414" spans="1:9" x14ac:dyDescent="0.25">
      <c r="A414" s="6" t="str">
        <f>A413</f>
        <v>GW25</v>
      </c>
      <c r="B414" s="7">
        <v>2</v>
      </c>
      <c r="C414" s="7" t="str">
        <f t="shared" ref="C414:C427" si="71">A414&amp;-B414</f>
        <v>GW25-2</v>
      </c>
      <c r="D414" s="1" t="str">
        <f>IFERROR(VLOOKUP(E414,[1]FINAL!$A$2:$J$699,MATCH("Pos",[1]FINAL!$A$1:$J$1,0),0),"")</f>
        <v/>
      </c>
      <c r="E414" s="4" t="str">
        <f>IFERROR(VLOOKUP($A414&amp;$E397,DATA!$F$1:$G$500,MATCH("FULL IN",DATA!$F$1:$G$1,0),0),$E397)</f>
        <v/>
      </c>
      <c r="F414" s="2" t="str">
        <f>IF(Z414="","","IN")</f>
        <v/>
      </c>
      <c r="G414" s="2" t="str">
        <f>IFERROR(VLOOKUP(E414,[1]FINAL!$A$2:$M$699,MATCH("Team",[1]FINAL!$A$1:$K$1,0),0),"")</f>
        <v/>
      </c>
      <c r="I414" s="4" t="str">
        <f>IFERROR(VLOOKUP($A414&amp;$E397,DATA!$F$1:$H$500,MATCH("FULL OUT",DATA!$F$1:$H$1,0),0),"")</f>
        <v/>
      </c>
    </row>
    <row r="415" spans="1:9" x14ac:dyDescent="0.25">
      <c r="A415" s="6" t="str">
        <f t="shared" ref="A415:A427" si="72">A414</f>
        <v>GW25</v>
      </c>
      <c r="B415" s="7">
        <v>3</v>
      </c>
      <c r="C415" s="7" t="str">
        <f t="shared" si="71"/>
        <v>GW25-3</v>
      </c>
      <c r="D415" s="1" t="str">
        <f>IFERROR(VLOOKUP(E415,[1]FINAL!$A$2:$J$699,MATCH("Pos",[1]FINAL!$A$1:$J$1,0),0),"")</f>
        <v/>
      </c>
      <c r="E415" s="4" t="str">
        <f>IFERROR(VLOOKUP($A415&amp;$E398,DATA!$F$1:$G$500,MATCH("FULL IN",DATA!$F$1:$G$1,0),0),$E398)</f>
        <v/>
      </c>
      <c r="F415" s="2" t="str">
        <f t="shared" ref="F415:F427" si="73">IF(Z415="","","IN")</f>
        <v/>
      </c>
      <c r="G415" s="2" t="str">
        <f>IFERROR(VLOOKUP(E415,[1]FINAL!$A$2:$M$699,MATCH("Team",[1]FINAL!$A$1:$K$1,0),0),"")</f>
        <v/>
      </c>
      <c r="I415" s="4" t="str">
        <f>IFERROR(VLOOKUP($A415&amp;$E398,DATA!$F$1:$H$500,MATCH("FULL OUT",DATA!$F$1:$H$1,0),0),"")</f>
        <v/>
      </c>
    </row>
    <row r="416" spans="1:9" x14ac:dyDescent="0.25">
      <c r="A416" s="6" t="str">
        <f t="shared" si="72"/>
        <v>GW25</v>
      </c>
      <c r="B416" s="7">
        <v>4</v>
      </c>
      <c r="C416" s="7" t="str">
        <f t="shared" si="71"/>
        <v>GW25-4</v>
      </c>
      <c r="D416" s="1" t="str">
        <f>IFERROR(VLOOKUP(E416,[1]FINAL!$A$2:$J$699,MATCH("Pos",[1]FINAL!$A$1:$J$1,0),0),"")</f>
        <v/>
      </c>
      <c r="E416" s="4" t="str">
        <f>IFERROR(VLOOKUP($A416&amp;$E399,DATA!$F$1:$G$500,MATCH("FULL IN",DATA!$F$1:$G$1,0),0),$E399)</f>
        <v/>
      </c>
      <c r="F416" s="2" t="str">
        <f t="shared" si="73"/>
        <v/>
      </c>
      <c r="G416" s="2" t="str">
        <f>IFERROR(VLOOKUP(E416,[1]FINAL!$A$2:$M$699,MATCH("Team",[1]FINAL!$A$1:$K$1,0),0),"")</f>
        <v/>
      </c>
      <c r="I416" s="4" t="str">
        <f>IFERROR(VLOOKUP($A416&amp;$E399,DATA!$F$1:$H$500,MATCH("FULL OUT",DATA!$F$1:$H$1,0),0),"")</f>
        <v/>
      </c>
    </row>
    <row r="417" spans="1:9" x14ac:dyDescent="0.25">
      <c r="A417" s="6" t="str">
        <f t="shared" si="72"/>
        <v>GW25</v>
      </c>
      <c r="B417" s="7">
        <v>5</v>
      </c>
      <c r="C417" s="7" t="str">
        <f t="shared" si="71"/>
        <v>GW25-5</v>
      </c>
      <c r="D417" s="1" t="str">
        <f>IFERROR(VLOOKUP(E417,[1]FINAL!$A$2:$J$699,MATCH("Pos",[1]FINAL!$A$1:$J$1,0),0),"")</f>
        <v/>
      </c>
      <c r="E417" s="4" t="str">
        <f>IFERROR(VLOOKUP($A417&amp;$E400,DATA!$F$1:$G$500,MATCH("FULL IN",DATA!$F$1:$G$1,0),0),$E400)</f>
        <v/>
      </c>
      <c r="F417" s="2" t="str">
        <f t="shared" si="73"/>
        <v/>
      </c>
      <c r="G417" s="2" t="str">
        <f>IFERROR(VLOOKUP(E417,[1]FINAL!$A$2:$M$699,MATCH("Team",[1]FINAL!$A$1:$K$1,0),0),"")</f>
        <v/>
      </c>
      <c r="I417" s="4" t="str">
        <f>IFERROR(VLOOKUP($A417&amp;$E400,DATA!$F$1:$H$500,MATCH("FULL OUT",DATA!$F$1:$H$1,0),0),"")</f>
        <v/>
      </c>
    </row>
    <row r="418" spans="1:9" x14ac:dyDescent="0.25">
      <c r="A418" s="6" t="str">
        <f t="shared" si="72"/>
        <v>GW25</v>
      </c>
      <c r="B418" s="7">
        <v>6</v>
      </c>
      <c r="C418" s="7" t="str">
        <f t="shared" si="71"/>
        <v>GW25-6</v>
      </c>
      <c r="D418" s="1" t="str">
        <f>IFERROR(VLOOKUP(E418,[1]FINAL!$A$2:$J$699,MATCH("Pos",[1]FINAL!$A$1:$J$1,0),0),"")</f>
        <v/>
      </c>
      <c r="E418" s="4" t="str">
        <f>IFERROR(VLOOKUP($A418&amp;$E401,DATA!$F$1:$G$500,MATCH("FULL IN",DATA!$F$1:$G$1,0),0),$E401)</f>
        <v/>
      </c>
      <c r="F418" s="2" t="str">
        <f t="shared" si="73"/>
        <v/>
      </c>
      <c r="G418" s="2" t="str">
        <f>IFERROR(VLOOKUP(E418,[1]FINAL!$A$2:$M$699,MATCH("Team",[1]FINAL!$A$1:$K$1,0),0),"")</f>
        <v/>
      </c>
      <c r="I418" s="4" t="str">
        <f>IFERROR(VLOOKUP($A418&amp;$E401,DATA!$F$1:$H$500,MATCH("FULL OUT",DATA!$F$1:$H$1,0),0),"")</f>
        <v/>
      </c>
    </row>
    <row r="419" spans="1:9" x14ac:dyDescent="0.25">
      <c r="A419" s="6" t="str">
        <f t="shared" si="72"/>
        <v>GW25</v>
      </c>
      <c r="B419" s="7">
        <v>7</v>
      </c>
      <c r="C419" s="7" t="str">
        <f t="shared" si="71"/>
        <v>GW25-7</v>
      </c>
      <c r="D419" s="1" t="str">
        <f>IFERROR(VLOOKUP(E419,[1]FINAL!$A$2:$J$699,MATCH("Pos",[1]FINAL!$A$1:$J$1,0),0),"")</f>
        <v/>
      </c>
      <c r="E419" s="4" t="str">
        <f>IFERROR(VLOOKUP($A419&amp;$E402,DATA!$F$1:$G$500,MATCH("FULL IN",DATA!$F$1:$G$1,0),0),$E402)</f>
        <v/>
      </c>
      <c r="F419" s="2" t="str">
        <f t="shared" si="73"/>
        <v/>
      </c>
      <c r="G419" s="2" t="str">
        <f>IFERROR(VLOOKUP(E419,[1]FINAL!$A$2:$M$699,MATCH("Team",[1]FINAL!$A$1:$K$1,0),0),"")</f>
        <v/>
      </c>
      <c r="I419" s="4" t="str">
        <f>IFERROR(VLOOKUP($A419&amp;$E402,DATA!$F$1:$H$500,MATCH("FULL OUT",DATA!$F$1:$H$1,0),0),"")</f>
        <v/>
      </c>
    </row>
    <row r="420" spans="1:9" x14ac:dyDescent="0.25">
      <c r="A420" s="6" t="str">
        <f t="shared" si="72"/>
        <v>GW25</v>
      </c>
      <c r="B420" s="7">
        <v>8</v>
      </c>
      <c r="C420" s="7" t="str">
        <f t="shared" si="71"/>
        <v>GW25-8</v>
      </c>
      <c r="D420" s="1" t="str">
        <f>IFERROR(VLOOKUP(E420,[1]FINAL!$A$2:$J$699,MATCH("Pos",[1]FINAL!$A$1:$J$1,0),0),"")</f>
        <v/>
      </c>
      <c r="E420" s="4" t="str">
        <f>IFERROR(VLOOKUP($A420&amp;$E403,DATA!$F$1:$G$500,MATCH("FULL IN",DATA!$F$1:$G$1,0),0),$E403)</f>
        <v/>
      </c>
      <c r="F420" s="2" t="str">
        <f t="shared" si="73"/>
        <v/>
      </c>
      <c r="G420" s="2" t="str">
        <f>IFERROR(VLOOKUP(E420,[1]FINAL!$A$2:$M$699,MATCH("Team",[1]FINAL!$A$1:$K$1,0),0),"")</f>
        <v/>
      </c>
      <c r="I420" s="4" t="str">
        <f>IFERROR(VLOOKUP($A420&amp;$E403,DATA!$F$1:$H$500,MATCH("FULL OUT",DATA!$F$1:$H$1,0),0),"")</f>
        <v/>
      </c>
    </row>
    <row r="421" spans="1:9" x14ac:dyDescent="0.25">
      <c r="A421" s="6" t="str">
        <f t="shared" si="72"/>
        <v>GW25</v>
      </c>
      <c r="B421" s="7">
        <v>9</v>
      </c>
      <c r="C421" s="7" t="str">
        <f t="shared" si="71"/>
        <v>GW25-9</v>
      </c>
      <c r="D421" s="1" t="str">
        <f>IFERROR(VLOOKUP(E421,[1]FINAL!$A$2:$J$699,MATCH("Pos",[1]FINAL!$A$1:$J$1,0),0),"")</f>
        <v/>
      </c>
      <c r="E421" s="4" t="str">
        <f>IFERROR(VLOOKUP($A421&amp;$E404,DATA!$F$1:$G$500,MATCH("FULL IN",DATA!$F$1:$G$1,0),0),$E404)</f>
        <v/>
      </c>
      <c r="F421" s="2" t="str">
        <f t="shared" si="73"/>
        <v/>
      </c>
      <c r="G421" s="2" t="str">
        <f>IFERROR(VLOOKUP(E421,[1]FINAL!$A$2:$M$699,MATCH("Team",[1]FINAL!$A$1:$K$1,0),0),"")</f>
        <v/>
      </c>
      <c r="I421" s="4" t="str">
        <f>IFERROR(VLOOKUP($A421&amp;$E404,DATA!$F$1:$H$500,MATCH("FULL OUT",DATA!$F$1:$H$1,0),0),"")</f>
        <v/>
      </c>
    </row>
    <row r="422" spans="1:9" x14ac:dyDescent="0.25">
      <c r="A422" s="6" t="str">
        <f t="shared" si="72"/>
        <v>GW25</v>
      </c>
      <c r="B422" s="7">
        <v>10</v>
      </c>
      <c r="C422" s="7" t="str">
        <f t="shared" si="71"/>
        <v>GW25-10</v>
      </c>
      <c r="D422" s="1" t="str">
        <f>IFERROR(VLOOKUP(E422,[1]FINAL!$A$2:$J$699,MATCH("Pos",[1]FINAL!$A$1:$J$1,0),0),"")</f>
        <v/>
      </c>
      <c r="E422" s="4" t="str">
        <f>IFERROR(VLOOKUP($A422&amp;$E405,DATA!$F$1:$G$500,MATCH("FULL IN",DATA!$F$1:$G$1,0),0),$E405)</f>
        <v/>
      </c>
      <c r="F422" s="2" t="str">
        <f t="shared" si="73"/>
        <v/>
      </c>
      <c r="G422" s="2" t="str">
        <f>IFERROR(VLOOKUP(E422,[1]FINAL!$A$2:$M$699,MATCH("Team",[1]FINAL!$A$1:$K$1,0),0),"")</f>
        <v/>
      </c>
      <c r="I422" s="4" t="str">
        <f>IFERROR(VLOOKUP($A422&amp;$E405,DATA!$F$1:$H$500,MATCH("FULL OUT",DATA!$F$1:$H$1,0),0),"")</f>
        <v/>
      </c>
    </row>
    <row r="423" spans="1:9" x14ac:dyDescent="0.25">
      <c r="A423" s="6" t="str">
        <f t="shared" si="72"/>
        <v>GW25</v>
      </c>
      <c r="B423" s="7">
        <v>11</v>
      </c>
      <c r="C423" s="7" t="str">
        <f t="shared" si="71"/>
        <v>GW25-11</v>
      </c>
      <c r="D423" s="1" t="str">
        <f>IFERROR(VLOOKUP(E423,[1]FINAL!$A$2:$J$699,MATCH("Pos",[1]FINAL!$A$1:$J$1,0),0),"")</f>
        <v/>
      </c>
      <c r="E423" s="4" t="str">
        <f>IFERROR(VLOOKUP($A423&amp;$E406,DATA!$F$1:$G$500,MATCH("FULL IN",DATA!$F$1:$G$1,0),0),$E406)</f>
        <v/>
      </c>
      <c r="F423" s="2" t="str">
        <f t="shared" si="73"/>
        <v/>
      </c>
      <c r="G423" s="2" t="str">
        <f>IFERROR(VLOOKUP(E423,[1]FINAL!$A$2:$M$699,MATCH("Team",[1]FINAL!$A$1:$K$1,0),0),"")</f>
        <v/>
      </c>
      <c r="I423" s="4" t="str">
        <f>IFERROR(VLOOKUP($A423&amp;$E406,DATA!$F$1:$H$500,MATCH("FULL OUT",DATA!$F$1:$H$1,0),0),"")</f>
        <v/>
      </c>
    </row>
    <row r="424" spans="1:9" x14ac:dyDescent="0.25">
      <c r="A424" s="6" t="str">
        <f t="shared" si="72"/>
        <v>GW25</v>
      </c>
      <c r="B424" s="7">
        <v>12</v>
      </c>
      <c r="C424" s="7" t="str">
        <f t="shared" si="71"/>
        <v>GW25-12</v>
      </c>
      <c r="D424" s="1" t="str">
        <f>IFERROR(VLOOKUP(E424,[1]FINAL!$A$2:$J$699,MATCH("Pos",[1]FINAL!$A$1:$J$1,0),0),"")</f>
        <v/>
      </c>
      <c r="E424" s="4" t="str">
        <f>IFERROR(VLOOKUP($A424&amp;$E407,DATA!$F$1:$G$500,MATCH("FULL IN",DATA!$F$1:$G$1,0),0),$E407)</f>
        <v/>
      </c>
      <c r="F424" s="2" t="str">
        <f t="shared" si="73"/>
        <v/>
      </c>
      <c r="G424" s="2" t="str">
        <f>IFERROR(VLOOKUP(E424,[1]FINAL!$A$2:$M$699,MATCH("Team",[1]FINAL!$A$1:$K$1,0),0),"")</f>
        <v/>
      </c>
      <c r="I424" s="4" t="str">
        <f>IFERROR(VLOOKUP($A424&amp;$E407,DATA!$F$1:$H$500,MATCH("FULL OUT",DATA!$F$1:$H$1,0),0),"")</f>
        <v/>
      </c>
    </row>
    <row r="425" spans="1:9" x14ac:dyDescent="0.25">
      <c r="A425" s="6" t="str">
        <f t="shared" si="72"/>
        <v>GW25</v>
      </c>
      <c r="B425" s="7">
        <v>13</v>
      </c>
      <c r="C425" s="7" t="str">
        <f t="shared" si="71"/>
        <v>GW25-13</v>
      </c>
      <c r="D425" s="1" t="str">
        <f>IFERROR(VLOOKUP(E425,[1]FINAL!$A$2:$J$699,MATCH("Pos",[1]FINAL!$A$1:$J$1,0),0),"")</f>
        <v/>
      </c>
      <c r="E425" s="4" t="str">
        <f>IFERROR(VLOOKUP($A425&amp;$E408,DATA!$F$1:$G$500,MATCH("FULL IN",DATA!$F$1:$G$1,0),0),$E408)</f>
        <v/>
      </c>
      <c r="F425" s="2" t="str">
        <f t="shared" si="73"/>
        <v/>
      </c>
      <c r="G425" s="2" t="str">
        <f>IFERROR(VLOOKUP(E425,[1]FINAL!$A$2:$M$699,MATCH("Team",[1]FINAL!$A$1:$K$1,0),0),"")</f>
        <v/>
      </c>
      <c r="I425" s="4" t="str">
        <f>IFERROR(VLOOKUP($A425&amp;$E408,DATA!$F$1:$H$500,MATCH("FULL OUT",DATA!$F$1:$H$1,0),0),"")</f>
        <v/>
      </c>
    </row>
    <row r="426" spans="1:9" x14ac:dyDescent="0.25">
      <c r="A426" s="6" t="str">
        <f t="shared" si="72"/>
        <v>GW25</v>
      </c>
      <c r="B426" s="7">
        <v>14</v>
      </c>
      <c r="C426" s="7" t="str">
        <f t="shared" si="71"/>
        <v>GW25-14</v>
      </c>
      <c r="D426" s="1" t="str">
        <f>IFERROR(VLOOKUP(E426,[1]FINAL!$A$2:$J$699,MATCH("Pos",[1]FINAL!$A$1:$J$1,0),0),"")</f>
        <v/>
      </c>
      <c r="E426" s="4" t="str">
        <f>IFERROR(VLOOKUP($A426&amp;$E409,DATA!$F$1:$G$500,MATCH("FULL IN",DATA!$F$1:$G$1,0),0),$E409)</f>
        <v/>
      </c>
      <c r="F426" s="2" t="str">
        <f t="shared" si="73"/>
        <v/>
      </c>
      <c r="G426" s="2" t="str">
        <f>IFERROR(VLOOKUP(E426,[1]FINAL!$A$2:$M$699,MATCH("Team",[1]FINAL!$A$1:$K$1,0),0),"")</f>
        <v/>
      </c>
      <c r="I426" s="4" t="str">
        <f>IFERROR(VLOOKUP($A426&amp;$E409,DATA!$F$1:$H$500,MATCH("FULL OUT",DATA!$F$1:$H$1,0),0),"")</f>
        <v/>
      </c>
    </row>
    <row r="427" spans="1:9" x14ac:dyDescent="0.25">
      <c r="A427" s="6" t="str">
        <f t="shared" si="72"/>
        <v>GW25</v>
      </c>
      <c r="B427" s="7">
        <v>15</v>
      </c>
      <c r="C427" s="7" t="str">
        <f t="shared" si="71"/>
        <v>GW25-15</v>
      </c>
      <c r="D427" s="1" t="str">
        <f>IFERROR(VLOOKUP(E427,[1]FINAL!$A$2:$J$699,MATCH("Pos",[1]FINAL!$A$1:$J$1,0),0),"")</f>
        <v/>
      </c>
      <c r="E427" s="4" t="str">
        <f>IFERROR(VLOOKUP($A427&amp;$E410,DATA!$F$1:$G$500,MATCH("FULL IN",DATA!$F$1:$G$1,0),0),$E410)</f>
        <v/>
      </c>
      <c r="F427" s="2" t="str">
        <f t="shared" si="73"/>
        <v/>
      </c>
      <c r="G427" s="2" t="str">
        <f>IFERROR(VLOOKUP(E427,[1]FINAL!$A$2:$M$699,MATCH("Team",[1]FINAL!$A$1:$K$1,0),0),"")</f>
        <v/>
      </c>
      <c r="I427" s="4" t="str">
        <f>IFERROR(VLOOKUP($A427&amp;$E410,DATA!$F$1:$H$500,MATCH("FULL OUT",DATA!$F$1:$H$1,0),0),"")</f>
        <v/>
      </c>
    </row>
    <row r="430" spans="1:9" x14ac:dyDescent="0.25">
      <c r="A430" s="6" t="s">
        <v>28</v>
      </c>
      <c r="B430" s="7">
        <v>1</v>
      </c>
      <c r="C430" s="7" t="str">
        <f>A430&amp;-B430</f>
        <v>GW26-1</v>
      </c>
      <c r="D430" s="1" t="str">
        <f>IFERROR(VLOOKUP(E430,[1]FINAL!$A$2:$J$699,MATCH("Pos",[1]FINAL!$A$1:$J$1,0),0),"")</f>
        <v/>
      </c>
      <c r="E430" s="4" t="str">
        <f>IFERROR(VLOOKUP($A430&amp;$E413,DATA!$F$1:$G$500,MATCH("FULL IN",DATA!$F$1:$G$1,0),0),$E413)</f>
        <v>Player Name</v>
      </c>
      <c r="G430" s="2" t="str">
        <f>IFERROR(VLOOKUP(E430,[1]FINAL!$A$2:$M$699,MATCH("Team",[1]FINAL!$A$1:$K$1,0),0),"")</f>
        <v/>
      </c>
      <c r="I430" s="4" t="str">
        <f>IFERROR(VLOOKUP($A430&amp;$E413,DATA!$F$1:$H$500,MATCH("FULL OUT",DATA!$F$1:$H$1,0),0),"")</f>
        <v/>
      </c>
    </row>
    <row r="431" spans="1:9" x14ac:dyDescent="0.25">
      <c r="A431" s="6" t="str">
        <f>A430</f>
        <v>GW26</v>
      </c>
      <c r="B431" s="7">
        <v>2</v>
      </c>
      <c r="C431" s="7" t="str">
        <f t="shared" ref="C431:C444" si="74">A431&amp;-B431</f>
        <v>GW26-2</v>
      </c>
      <c r="D431" s="1" t="str">
        <f>IFERROR(VLOOKUP(E431,[1]FINAL!$A$2:$J$699,MATCH("Pos",[1]FINAL!$A$1:$J$1,0),0),"")</f>
        <v/>
      </c>
      <c r="E431" s="4" t="str">
        <f>IFERROR(VLOOKUP($A431&amp;$E414,DATA!$F$1:$G$500,MATCH("FULL IN",DATA!$F$1:$G$1,0),0),$E414)</f>
        <v/>
      </c>
      <c r="F431" s="2" t="str">
        <f>IF(Z431="","","IN")</f>
        <v/>
      </c>
      <c r="G431" s="2" t="str">
        <f>IFERROR(VLOOKUP(E431,[1]FINAL!$A$2:$M$699,MATCH("Team",[1]FINAL!$A$1:$K$1,0),0),"")</f>
        <v/>
      </c>
      <c r="I431" s="4" t="str">
        <f>IFERROR(VLOOKUP($A431&amp;$E414,DATA!$F$1:$H$500,MATCH("FULL OUT",DATA!$F$1:$H$1,0),0),"")</f>
        <v/>
      </c>
    </row>
    <row r="432" spans="1:9" x14ac:dyDescent="0.25">
      <c r="A432" s="6" t="str">
        <f t="shared" ref="A432:A444" si="75">A431</f>
        <v>GW26</v>
      </c>
      <c r="B432" s="7">
        <v>3</v>
      </c>
      <c r="C432" s="7" t="str">
        <f t="shared" si="74"/>
        <v>GW26-3</v>
      </c>
      <c r="D432" s="1" t="str">
        <f>IFERROR(VLOOKUP(E432,[1]FINAL!$A$2:$J$699,MATCH("Pos",[1]FINAL!$A$1:$J$1,0),0),"")</f>
        <v/>
      </c>
      <c r="E432" s="4" t="str">
        <f>IFERROR(VLOOKUP($A432&amp;$E415,DATA!$F$1:$G$500,MATCH("FULL IN",DATA!$F$1:$G$1,0),0),$E415)</f>
        <v/>
      </c>
      <c r="F432" s="2" t="str">
        <f t="shared" ref="F432:F444" si="76">IF(Z432="","","IN")</f>
        <v/>
      </c>
      <c r="G432" s="2" t="str">
        <f>IFERROR(VLOOKUP(E432,[1]FINAL!$A$2:$M$699,MATCH("Team",[1]FINAL!$A$1:$K$1,0),0),"")</f>
        <v/>
      </c>
      <c r="I432" s="4" t="str">
        <f>IFERROR(VLOOKUP($A432&amp;$E415,DATA!$F$1:$H$500,MATCH("FULL OUT",DATA!$F$1:$H$1,0),0),"")</f>
        <v/>
      </c>
    </row>
    <row r="433" spans="1:9" x14ac:dyDescent="0.25">
      <c r="A433" s="6" t="str">
        <f t="shared" si="75"/>
        <v>GW26</v>
      </c>
      <c r="B433" s="7">
        <v>4</v>
      </c>
      <c r="C433" s="7" t="str">
        <f t="shared" si="74"/>
        <v>GW26-4</v>
      </c>
      <c r="D433" s="1" t="str">
        <f>IFERROR(VLOOKUP(E433,[1]FINAL!$A$2:$J$699,MATCH("Pos",[1]FINAL!$A$1:$J$1,0),0),"")</f>
        <v/>
      </c>
      <c r="E433" s="4" t="str">
        <f>IFERROR(VLOOKUP($A433&amp;$E416,DATA!$F$1:$G$500,MATCH("FULL IN",DATA!$F$1:$G$1,0),0),$E416)</f>
        <v/>
      </c>
      <c r="F433" s="2" t="str">
        <f t="shared" si="76"/>
        <v/>
      </c>
      <c r="G433" s="2" t="str">
        <f>IFERROR(VLOOKUP(E433,[1]FINAL!$A$2:$M$699,MATCH("Team",[1]FINAL!$A$1:$K$1,0),0),"")</f>
        <v/>
      </c>
      <c r="I433" s="4" t="str">
        <f>IFERROR(VLOOKUP($A433&amp;$E416,DATA!$F$1:$H$500,MATCH("FULL OUT",DATA!$F$1:$H$1,0),0),"")</f>
        <v/>
      </c>
    </row>
    <row r="434" spans="1:9" x14ac:dyDescent="0.25">
      <c r="A434" s="6" t="str">
        <f t="shared" si="75"/>
        <v>GW26</v>
      </c>
      <c r="B434" s="7">
        <v>5</v>
      </c>
      <c r="C434" s="7" t="str">
        <f t="shared" si="74"/>
        <v>GW26-5</v>
      </c>
      <c r="D434" s="1" t="str">
        <f>IFERROR(VLOOKUP(E434,[1]FINAL!$A$2:$J$699,MATCH("Pos",[1]FINAL!$A$1:$J$1,0),0),"")</f>
        <v/>
      </c>
      <c r="E434" s="4" t="str">
        <f>IFERROR(VLOOKUP($A434&amp;$E417,DATA!$F$1:$G$500,MATCH("FULL IN",DATA!$F$1:$G$1,0),0),$E417)</f>
        <v/>
      </c>
      <c r="F434" s="2" t="str">
        <f t="shared" si="76"/>
        <v/>
      </c>
      <c r="G434" s="2" t="str">
        <f>IFERROR(VLOOKUP(E434,[1]FINAL!$A$2:$M$699,MATCH("Team",[1]FINAL!$A$1:$K$1,0),0),"")</f>
        <v/>
      </c>
      <c r="I434" s="4" t="str">
        <f>IFERROR(VLOOKUP($A434&amp;$E417,DATA!$F$1:$H$500,MATCH("FULL OUT",DATA!$F$1:$H$1,0),0),"")</f>
        <v/>
      </c>
    </row>
    <row r="435" spans="1:9" x14ac:dyDescent="0.25">
      <c r="A435" s="6" t="str">
        <f t="shared" si="75"/>
        <v>GW26</v>
      </c>
      <c r="B435" s="7">
        <v>6</v>
      </c>
      <c r="C435" s="7" t="str">
        <f t="shared" si="74"/>
        <v>GW26-6</v>
      </c>
      <c r="D435" s="1" t="str">
        <f>IFERROR(VLOOKUP(E435,[1]FINAL!$A$2:$J$699,MATCH("Pos",[1]FINAL!$A$1:$J$1,0),0),"")</f>
        <v/>
      </c>
      <c r="E435" s="4" t="str">
        <f>IFERROR(VLOOKUP($A435&amp;$E418,DATA!$F$1:$G$500,MATCH("FULL IN",DATA!$F$1:$G$1,0),0),$E418)</f>
        <v/>
      </c>
      <c r="F435" s="2" t="str">
        <f t="shared" si="76"/>
        <v/>
      </c>
      <c r="G435" s="2" t="str">
        <f>IFERROR(VLOOKUP(E435,[1]FINAL!$A$2:$M$699,MATCH("Team",[1]FINAL!$A$1:$K$1,0),0),"")</f>
        <v/>
      </c>
      <c r="I435" s="4" t="str">
        <f>IFERROR(VLOOKUP($A435&amp;$E418,DATA!$F$1:$H$500,MATCH("FULL OUT",DATA!$F$1:$H$1,0),0),"")</f>
        <v/>
      </c>
    </row>
    <row r="436" spans="1:9" x14ac:dyDescent="0.25">
      <c r="A436" s="6" t="str">
        <f t="shared" si="75"/>
        <v>GW26</v>
      </c>
      <c r="B436" s="7">
        <v>7</v>
      </c>
      <c r="C436" s="7" t="str">
        <f t="shared" si="74"/>
        <v>GW26-7</v>
      </c>
      <c r="D436" s="1" t="str">
        <f>IFERROR(VLOOKUP(E436,[1]FINAL!$A$2:$J$699,MATCH("Pos",[1]FINAL!$A$1:$J$1,0),0),"")</f>
        <v/>
      </c>
      <c r="E436" s="4" t="str">
        <f>IFERROR(VLOOKUP($A436&amp;$E419,DATA!$F$1:$G$500,MATCH("FULL IN",DATA!$F$1:$G$1,0),0),$E419)</f>
        <v/>
      </c>
      <c r="F436" s="2" t="str">
        <f t="shared" si="76"/>
        <v/>
      </c>
      <c r="G436" s="2" t="str">
        <f>IFERROR(VLOOKUP(E436,[1]FINAL!$A$2:$M$699,MATCH("Team",[1]FINAL!$A$1:$K$1,0),0),"")</f>
        <v/>
      </c>
      <c r="I436" s="4" t="str">
        <f>IFERROR(VLOOKUP($A436&amp;$E419,DATA!$F$1:$H$500,MATCH("FULL OUT",DATA!$F$1:$H$1,0),0),"")</f>
        <v/>
      </c>
    </row>
    <row r="437" spans="1:9" x14ac:dyDescent="0.25">
      <c r="A437" s="6" t="str">
        <f t="shared" si="75"/>
        <v>GW26</v>
      </c>
      <c r="B437" s="7">
        <v>8</v>
      </c>
      <c r="C437" s="7" t="str">
        <f t="shared" si="74"/>
        <v>GW26-8</v>
      </c>
      <c r="D437" s="1" t="str">
        <f>IFERROR(VLOOKUP(E437,[1]FINAL!$A$2:$J$699,MATCH("Pos",[1]FINAL!$A$1:$J$1,0),0),"")</f>
        <v/>
      </c>
      <c r="E437" s="4" t="str">
        <f>IFERROR(VLOOKUP($A437&amp;$E420,DATA!$F$1:$G$500,MATCH("FULL IN",DATA!$F$1:$G$1,0),0),$E420)</f>
        <v/>
      </c>
      <c r="F437" s="2" t="str">
        <f t="shared" si="76"/>
        <v/>
      </c>
      <c r="G437" s="2" t="str">
        <f>IFERROR(VLOOKUP(E437,[1]FINAL!$A$2:$M$699,MATCH("Team",[1]FINAL!$A$1:$K$1,0),0),"")</f>
        <v/>
      </c>
      <c r="I437" s="4" t="str">
        <f>IFERROR(VLOOKUP($A437&amp;$E420,DATA!$F$1:$H$500,MATCH("FULL OUT",DATA!$F$1:$H$1,0),0),"")</f>
        <v/>
      </c>
    </row>
    <row r="438" spans="1:9" x14ac:dyDescent="0.25">
      <c r="A438" s="6" t="str">
        <f t="shared" si="75"/>
        <v>GW26</v>
      </c>
      <c r="B438" s="7">
        <v>9</v>
      </c>
      <c r="C438" s="7" t="str">
        <f t="shared" si="74"/>
        <v>GW26-9</v>
      </c>
      <c r="D438" s="1" t="str">
        <f>IFERROR(VLOOKUP(E438,[1]FINAL!$A$2:$J$699,MATCH("Pos",[1]FINAL!$A$1:$J$1,0),0),"")</f>
        <v/>
      </c>
      <c r="E438" s="4" t="str">
        <f>IFERROR(VLOOKUP($A438&amp;$E421,DATA!$F$1:$G$500,MATCH("FULL IN",DATA!$F$1:$G$1,0),0),$E421)</f>
        <v/>
      </c>
      <c r="F438" s="2" t="str">
        <f t="shared" si="76"/>
        <v/>
      </c>
      <c r="G438" s="2" t="str">
        <f>IFERROR(VLOOKUP(E438,[1]FINAL!$A$2:$M$699,MATCH("Team",[1]FINAL!$A$1:$K$1,0),0),"")</f>
        <v/>
      </c>
      <c r="I438" s="4" t="str">
        <f>IFERROR(VLOOKUP($A438&amp;$E421,DATA!$F$1:$H$500,MATCH("FULL OUT",DATA!$F$1:$H$1,0),0),"")</f>
        <v/>
      </c>
    </row>
    <row r="439" spans="1:9" x14ac:dyDescent="0.25">
      <c r="A439" s="6" t="str">
        <f t="shared" si="75"/>
        <v>GW26</v>
      </c>
      <c r="B439" s="7">
        <v>10</v>
      </c>
      <c r="C439" s="7" t="str">
        <f t="shared" si="74"/>
        <v>GW26-10</v>
      </c>
      <c r="D439" s="1" t="str">
        <f>IFERROR(VLOOKUP(E439,[1]FINAL!$A$2:$J$699,MATCH("Pos",[1]FINAL!$A$1:$J$1,0),0),"")</f>
        <v/>
      </c>
      <c r="E439" s="4" t="str">
        <f>IFERROR(VLOOKUP($A439&amp;$E422,DATA!$F$1:$G$500,MATCH("FULL IN",DATA!$F$1:$G$1,0),0),$E422)</f>
        <v/>
      </c>
      <c r="F439" s="2" t="str">
        <f t="shared" si="76"/>
        <v/>
      </c>
      <c r="G439" s="2" t="str">
        <f>IFERROR(VLOOKUP(E439,[1]FINAL!$A$2:$M$699,MATCH("Team",[1]FINAL!$A$1:$K$1,0),0),"")</f>
        <v/>
      </c>
      <c r="I439" s="4" t="str">
        <f>IFERROR(VLOOKUP($A439&amp;$E422,DATA!$F$1:$H$500,MATCH("FULL OUT",DATA!$F$1:$H$1,0),0),"")</f>
        <v/>
      </c>
    </row>
    <row r="440" spans="1:9" x14ac:dyDescent="0.25">
      <c r="A440" s="6" t="str">
        <f t="shared" si="75"/>
        <v>GW26</v>
      </c>
      <c r="B440" s="7">
        <v>11</v>
      </c>
      <c r="C440" s="7" t="str">
        <f t="shared" si="74"/>
        <v>GW26-11</v>
      </c>
      <c r="D440" s="1" t="str">
        <f>IFERROR(VLOOKUP(E440,[1]FINAL!$A$2:$J$699,MATCH("Pos",[1]FINAL!$A$1:$J$1,0),0),"")</f>
        <v/>
      </c>
      <c r="E440" s="4" t="str">
        <f>IFERROR(VLOOKUP($A440&amp;$E423,DATA!$F$1:$G$500,MATCH("FULL IN",DATA!$F$1:$G$1,0),0),$E423)</f>
        <v/>
      </c>
      <c r="F440" s="2" t="str">
        <f t="shared" si="76"/>
        <v/>
      </c>
      <c r="G440" s="2" t="str">
        <f>IFERROR(VLOOKUP(E440,[1]FINAL!$A$2:$M$699,MATCH("Team",[1]FINAL!$A$1:$K$1,0),0),"")</f>
        <v/>
      </c>
      <c r="I440" s="4" t="str">
        <f>IFERROR(VLOOKUP($A440&amp;$E423,DATA!$F$1:$H$500,MATCH("FULL OUT",DATA!$F$1:$H$1,0),0),"")</f>
        <v/>
      </c>
    </row>
    <row r="441" spans="1:9" x14ac:dyDescent="0.25">
      <c r="A441" s="6" t="str">
        <f t="shared" si="75"/>
        <v>GW26</v>
      </c>
      <c r="B441" s="7">
        <v>12</v>
      </c>
      <c r="C441" s="7" t="str">
        <f t="shared" si="74"/>
        <v>GW26-12</v>
      </c>
      <c r="D441" s="1" t="str">
        <f>IFERROR(VLOOKUP(E441,[1]FINAL!$A$2:$J$699,MATCH("Pos",[1]FINAL!$A$1:$J$1,0),0),"")</f>
        <v/>
      </c>
      <c r="E441" s="4" t="str">
        <f>IFERROR(VLOOKUP($A441&amp;$E424,DATA!$F$1:$G$500,MATCH("FULL IN",DATA!$F$1:$G$1,0),0),$E424)</f>
        <v/>
      </c>
      <c r="F441" s="2" t="str">
        <f t="shared" si="76"/>
        <v/>
      </c>
      <c r="G441" s="2" t="str">
        <f>IFERROR(VLOOKUP(E441,[1]FINAL!$A$2:$M$699,MATCH("Team",[1]FINAL!$A$1:$K$1,0),0),"")</f>
        <v/>
      </c>
      <c r="I441" s="4" t="str">
        <f>IFERROR(VLOOKUP($A441&amp;$E424,DATA!$F$1:$H$500,MATCH("FULL OUT",DATA!$F$1:$H$1,0),0),"")</f>
        <v/>
      </c>
    </row>
    <row r="442" spans="1:9" x14ac:dyDescent="0.25">
      <c r="A442" s="6" t="str">
        <f t="shared" si="75"/>
        <v>GW26</v>
      </c>
      <c r="B442" s="7">
        <v>13</v>
      </c>
      <c r="C442" s="7" t="str">
        <f t="shared" si="74"/>
        <v>GW26-13</v>
      </c>
      <c r="D442" s="1" t="str">
        <f>IFERROR(VLOOKUP(E442,[1]FINAL!$A$2:$J$699,MATCH("Pos",[1]FINAL!$A$1:$J$1,0),0),"")</f>
        <v/>
      </c>
      <c r="E442" s="4" t="str">
        <f>IFERROR(VLOOKUP($A442&amp;$E425,DATA!$F$1:$G$500,MATCH("FULL IN",DATA!$F$1:$G$1,0),0),$E425)</f>
        <v/>
      </c>
      <c r="F442" s="2" t="str">
        <f t="shared" si="76"/>
        <v/>
      </c>
      <c r="G442" s="2" t="str">
        <f>IFERROR(VLOOKUP(E442,[1]FINAL!$A$2:$M$699,MATCH("Team",[1]FINAL!$A$1:$K$1,0),0),"")</f>
        <v/>
      </c>
      <c r="I442" s="4" t="str">
        <f>IFERROR(VLOOKUP($A442&amp;$E425,DATA!$F$1:$H$500,MATCH("FULL OUT",DATA!$F$1:$H$1,0),0),"")</f>
        <v/>
      </c>
    </row>
    <row r="443" spans="1:9" x14ac:dyDescent="0.25">
      <c r="A443" s="6" t="str">
        <f t="shared" si="75"/>
        <v>GW26</v>
      </c>
      <c r="B443" s="7">
        <v>14</v>
      </c>
      <c r="C443" s="7" t="str">
        <f t="shared" si="74"/>
        <v>GW26-14</v>
      </c>
      <c r="D443" s="1" t="str">
        <f>IFERROR(VLOOKUP(E443,[1]FINAL!$A$2:$J$699,MATCH("Pos",[1]FINAL!$A$1:$J$1,0),0),"")</f>
        <v/>
      </c>
      <c r="E443" s="4" t="str">
        <f>IFERROR(VLOOKUP($A443&amp;$E426,DATA!$F$1:$G$500,MATCH("FULL IN",DATA!$F$1:$G$1,0),0),$E426)</f>
        <v/>
      </c>
      <c r="F443" s="2" t="str">
        <f t="shared" si="76"/>
        <v/>
      </c>
      <c r="G443" s="2" t="str">
        <f>IFERROR(VLOOKUP(E443,[1]FINAL!$A$2:$M$699,MATCH("Team",[1]FINAL!$A$1:$K$1,0),0),"")</f>
        <v/>
      </c>
      <c r="I443" s="4" t="str">
        <f>IFERROR(VLOOKUP($A443&amp;$E426,DATA!$F$1:$H$500,MATCH("FULL OUT",DATA!$F$1:$H$1,0),0),"")</f>
        <v/>
      </c>
    </row>
    <row r="444" spans="1:9" x14ac:dyDescent="0.25">
      <c r="A444" s="6" t="str">
        <f t="shared" si="75"/>
        <v>GW26</v>
      </c>
      <c r="B444" s="7">
        <v>15</v>
      </c>
      <c r="C444" s="7" t="str">
        <f t="shared" si="74"/>
        <v>GW26-15</v>
      </c>
      <c r="D444" s="1" t="str">
        <f>IFERROR(VLOOKUP(E444,[1]FINAL!$A$2:$J$699,MATCH("Pos",[1]FINAL!$A$1:$J$1,0),0),"")</f>
        <v/>
      </c>
      <c r="E444" s="4" t="str">
        <f>IFERROR(VLOOKUP($A444&amp;$E427,DATA!$F$1:$G$500,MATCH("FULL IN",DATA!$F$1:$G$1,0),0),$E427)</f>
        <v/>
      </c>
      <c r="F444" s="2" t="str">
        <f t="shared" si="76"/>
        <v/>
      </c>
      <c r="G444" s="2" t="str">
        <f>IFERROR(VLOOKUP(E444,[1]FINAL!$A$2:$M$699,MATCH("Team",[1]FINAL!$A$1:$K$1,0),0),"")</f>
        <v/>
      </c>
      <c r="I444" s="4" t="str">
        <f>IFERROR(VLOOKUP($A444&amp;$E427,DATA!$F$1:$H$500,MATCH("FULL OUT",DATA!$F$1:$H$1,0),0),"")</f>
        <v/>
      </c>
    </row>
    <row r="447" spans="1:9" x14ac:dyDescent="0.25">
      <c r="A447" s="6" t="s">
        <v>29</v>
      </c>
      <c r="B447" s="7">
        <v>1</v>
      </c>
      <c r="C447" s="7" t="str">
        <f>A447&amp;-B447</f>
        <v>GW27-1</v>
      </c>
      <c r="D447" s="1" t="str">
        <f>IFERROR(VLOOKUP(E447,[1]FINAL!$A$2:$J$699,MATCH("Pos",[1]FINAL!$A$1:$J$1,0),0),"")</f>
        <v/>
      </c>
      <c r="E447" s="4" t="str">
        <f>IFERROR(VLOOKUP($A447&amp;$E430,DATA!$F$1:$G$500,MATCH("FULL IN",DATA!$F$1:$G$1,0),0),$E430)</f>
        <v>Player Name</v>
      </c>
      <c r="G447" s="2" t="str">
        <f>IFERROR(VLOOKUP(E447,[1]FINAL!$A$2:$M$699,MATCH("Team",[1]FINAL!$A$1:$K$1,0),0),"")</f>
        <v/>
      </c>
      <c r="I447" s="4" t="str">
        <f>IFERROR(VLOOKUP($A447&amp;$E430,DATA!$F$1:$H$500,MATCH("FULL OUT",DATA!$F$1:$H$1,0),0),"")</f>
        <v/>
      </c>
    </row>
    <row r="448" spans="1:9" x14ac:dyDescent="0.25">
      <c r="A448" s="6" t="str">
        <f>A447</f>
        <v>GW27</v>
      </c>
      <c r="B448" s="7">
        <v>2</v>
      </c>
      <c r="C448" s="7" t="str">
        <f t="shared" ref="C448:C461" si="77">A448&amp;-B448</f>
        <v>GW27-2</v>
      </c>
      <c r="D448" s="1" t="str">
        <f>IFERROR(VLOOKUP(E448,[1]FINAL!$A$2:$J$699,MATCH("Pos",[1]FINAL!$A$1:$J$1,0),0),"")</f>
        <v/>
      </c>
      <c r="E448" s="4" t="str">
        <f>IFERROR(VLOOKUP($A448&amp;$E431,DATA!$F$1:$G$500,MATCH("FULL IN",DATA!$F$1:$G$1,0),0),$E431)</f>
        <v/>
      </c>
      <c r="F448" s="2" t="str">
        <f>IF(Z448="","","IN")</f>
        <v/>
      </c>
      <c r="G448" s="2" t="str">
        <f>IFERROR(VLOOKUP(E448,[1]FINAL!$A$2:$M$699,MATCH("Team",[1]FINAL!$A$1:$K$1,0),0),"")</f>
        <v/>
      </c>
      <c r="I448" s="4" t="str">
        <f>IFERROR(VLOOKUP($A448&amp;$E431,DATA!$F$1:$H$500,MATCH("FULL OUT",DATA!$F$1:$H$1,0),0),"")</f>
        <v/>
      </c>
    </row>
    <row r="449" spans="1:9" x14ac:dyDescent="0.25">
      <c r="A449" s="6" t="str">
        <f t="shared" ref="A449:A461" si="78">A448</f>
        <v>GW27</v>
      </c>
      <c r="B449" s="7">
        <v>3</v>
      </c>
      <c r="C449" s="7" t="str">
        <f t="shared" si="77"/>
        <v>GW27-3</v>
      </c>
      <c r="D449" s="1" t="str">
        <f>IFERROR(VLOOKUP(E449,[1]FINAL!$A$2:$J$699,MATCH("Pos",[1]FINAL!$A$1:$J$1,0),0),"")</f>
        <v/>
      </c>
      <c r="E449" s="4" t="str">
        <f>IFERROR(VLOOKUP($A449&amp;$E432,DATA!$F$1:$G$500,MATCH("FULL IN",DATA!$F$1:$G$1,0),0),$E432)</f>
        <v/>
      </c>
      <c r="F449" s="2" t="str">
        <f t="shared" ref="F449:F461" si="79">IF(Z449="","","IN")</f>
        <v/>
      </c>
      <c r="G449" s="2" t="str">
        <f>IFERROR(VLOOKUP(E449,[1]FINAL!$A$2:$M$699,MATCH("Team",[1]FINAL!$A$1:$K$1,0),0),"")</f>
        <v/>
      </c>
      <c r="I449" s="4" t="str">
        <f>IFERROR(VLOOKUP($A449&amp;$E432,DATA!$F$1:$H$500,MATCH("FULL OUT",DATA!$F$1:$H$1,0),0),"")</f>
        <v/>
      </c>
    </row>
    <row r="450" spans="1:9" x14ac:dyDescent="0.25">
      <c r="A450" s="6" t="str">
        <f t="shared" si="78"/>
        <v>GW27</v>
      </c>
      <c r="B450" s="7">
        <v>4</v>
      </c>
      <c r="C450" s="7" t="str">
        <f t="shared" si="77"/>
        <v>GW27-4</v>
      </c>
      <c r="D450" s="1" t="str">
        <f>IFERROR(VLOOKUP(E450,[1]FINAL!$A$2:$J$699,MATCH("Pos",[1]FINAL!$A$1:$J$1,0),0),"")</f>
        <v/>
      </c>
      <c r="E450" s="4" t="str">
        <f>IFERROR(VLOOKUP($A450&amp;$E433,DATA!$F$1:$G$500,MATCH("FULL IN",DATA!$F$1:$G$1,0),0),$E433)</f>
        <v/>
      </c>
      <c r="F450" s="2" t="str">
        <f t="shared" si="79"/>
        <v/>
      </c>
      <c r="G450" s="2" t="str">
        <f>IFERROR(VLOOKUP(E450,[1]FINAL!$A$2:$M$699,MATCH("Team",[1]FINAL!$A$1:$K$1,0),0),"")</f>
        <v/>
      </c>
      <c r="I450" s="4" t="str">
        <f>IFERROR(VLOOKUP($A450&amp;$E433,DATA!$F$1:$H$500,MATCH("FULL OUT",DATA!$F$1:$H$1,0),0),"")</f>
        <v/>
      </c>
    </row>
    <row r="451" spans="1:9" x14ac:dyDescent="0.25">
      <c r="A451" s="6" t="str">
        <f t="shared" si="78"/>
        <v>GW27</v>
      </c>
      <c r="B451" s="7">
        <v>5</v>
      </c>
      <c r="C451" s="7" t="str">
        <f t="shared" si="77"/>
        <v>GW27-5</v>
      </c>
      <c r="D451" s="1" t="str">
        <f>IFERROR(VLOOKUP(E451,[1]FINAL!$A$2:$J$699,MATCH("Pos",[1]FINAL!$A$1:$J$1,0),0),"")</f>
        <v/>
      </c>
      <c r="E451" s="4" t="str">
        <f>IFERROR(VLOOKUP($A451&amp;$E434,DATA!$F$1:$G$500,MATCH("FULL IN",DATA!$F$1:$G$1,0),0),$E434)</f>
        <v/>
      </c>
      <c r="F451" s="2" t="str">
        <f t="shared" si="79"/>
        <v/>
      </c>
      <c r="G451" s="2" t="str">
        <f>IFERROR(VLOOKUP(E451,[1]FINAL!$A$2:$M$699,MATCH("Team",[1]FINAL!$A$1:$K$1,0),0),"")</f>
        <v/>
      </c>
      <c r="I451" s="4" t="str">
        <f>IFERROR(VLOOKUP($A451&amp;$E434,DATA!$F$1:$H$500,MATCH("FULL OUT",DATA!$F$1:$H$1,0),0),"")</f>
        <v/>
      </c>
    </row>
    <row r="452" spans="1:9" x14ac:dyDescent="0.25">
      <c r="A452" s="6" t="str">
        <f t="shared" si="78"/>
        <v>GW27</v>
      </c>
      <c r="B452" s="7">
        <v>6</v>
      </c>
      <c r="C452" s="7" t="str">
        <f t="shared" si="77"/>
        <v>GW27-6</v>
      </c>
      <c r="D452" s="1" t="str">
        <f>IFERROR(VLOOKUP(E452,[1]FINAL!$A$2:$J$699,MATCH("Pos",[1]FINAL!$A$1:$J$1,0),0),"")</f>
        <v/>
      </c>
      <c r="E452" s="4" t="str">
        <f>IFERROR(VLOOKUP($A452&amp;$E435,DATA!$F$1:$G$500,MATCH("FULL IN",DATA!$F$1:$G$1,0),0),$E435)</f>
        <v/>
      </c>
      <c r="F452" s="2" t="str">
        <f t="shared" si="79"/>
        <v/>
      </c>
      <c r="G452" s="2" t="str">
        <f>IFERROR(VLOOKUP(E452,[1]FINAL!$A$2:$M$699,MATCH("Team",[1]FINAL!$A$1:$K$1,0),0),"")</f>
        <v/>
      </c>
      <c r="I452" s="4" t="str">
        <f>IFERROR(VLOOKUP($A452&amp;$E435,DATA!$F$1:$H$500,MATCH("FULL OUT",DATA!$F$1:$H$1,0),0),"")</f>
        <v/>
      </c>
    </row>
    <row r="453" spans="1:9" x14ac:dyDescent="0.25">
      <c r="A453" s="6" t="str">
        <f t="shared" si="78"/>
        <v>GW27</v>
      </c>
      <c r="B453" s="7">
        <v>7</v>
      </c>
      <c r="C453" s="7" t="str">
        <f t="shared" si="77"/>
        <v>GW27-7</v>
      </c>
      <c r="D453" s="1" t="str">
        <f>IFERROR(VLOOKUP(E453,[1]FINAL!$A$2:$J$699,MATCH("Pos",[1]FINAL!$A$1:$J$1,0),0),"")</f>
        <v/>
      </c>
      <c r="E453" s="4" t="str">
        <f>IFERROR(VLOOKUP($A453&amp;$E436,DATA!$F$1:$G$500,MATCH("FULL IN",DATA!$F$1:$G$1,0),0),$E436)</f>
        <v/>
      </c>
      <c r="F453" s="2" t="str">
        <f t="shared" si="79"/>
        <v/>
      </c>
      <c r="G453" s="2" t="str">
        <f>IFERROR(VLOOKUP(E453,[1]FINAL!$A$2:$M$699,MATCH("Team",[1]FINAL!$A$1:$K$1,0),0),"")</f>
        <v/>
      </c>
      <c r="I453" s="4" t="str">
        <f>IFERROR(VLOOKUP($A453&amp;$E436,DATA!$F$1:$H$500,MATCH("FULL OUT",DATA!$F$1:$H$1,0),0),"")</f>
        <v/>
      </c>
    </row>
    <row r="454" spans="1:9" x14ac:dyDescent="0.25">
      <c r="A454" s="6" t="str">
        <f t="shared" si="78"/>
        <v>GW27</v>
      </c>
      <c r="B454" s="7">
        <v>8</v>
      </c>
      <c r="C454" s="7" t="str">
        <f t="shared" si="77"/>
        <v>GW27-8</v>
      </c>
      <c r="D454" s="1" t="str">
        <f>IFERROR(VLOOKUP(E454,[1]FINAL!$A$2:$J$699,MATCH("Pos",[1]FINAL!$A$1:$J$1,0),0),"")</f>
        <v/>
      </c>
      <c r="E454" s="4" t="str">
        <f>IFERROR(VLOOKUP($A454&amp;$E437,DATA!$F$1:$G$500,MATCH("FULL IN",DATA!$F$1:$G$1,0),0),$E437)</f>
        <v/>
      </c>
      <c r="F454" s="2" t="str">
        <f t="shared" si="79"/>
        <v/>
      </c>
      <c r="G454" s="2" t="str">
        <f>IFERROR(VLOOKUP(E454,[1]FINAL!$A$2:$M$699,MATCH("Team",[1]FINAL!$A$1:$K$1,0),0),"")</f>
        <v/>
      </c>
      <c r="I454" s="4" t="str">
        <f>IFERROR(VLOOKUP($A454&amp;$E437,DATA!$F$1:$H$500,MATCH("FULL OUT",DATA!$F$1:$H$1,0),0),"")</f>
        <v/>
      </c>
    </row>
    <row r="455" spans="1:9" x14ac:dyDescent="0.25">
      <c r="A455" s="6" t="str">
        <f t="shared" si="78"/>
        <v>GW27</v>
      </c>
      <c r="B455" s="7">
        <v>9</v>
      </c>
      <c r="C455" s="7" t="str">
        <f t="shared" si="77"/>
        <v>GW27-9</v>
      </c>
      <c r="D455" s="1" t="str">
        <f>IFERROR(VLOOKUP(E455,[1]FINAL!$A$2:$J$699,MATCH("Pos",[1]FINAL!$A$1:$J$1,0),0),"")</f>
        <v/>
      </c>
      <c r="E455" s="4" t="str">
        <f>IFERROR(VLOOKUP($A455&amp;$E438,DATA!$F$1:$G$500,MATCH("FULL IN",DATA!$F$1:$G$1,0),0),$E438)</f>
        <v/>
      </c>
      <c r="F455" s="2" t="str">
        <f t="shared" si="79"/>
        <v/>
      </c>
      <c r="G455" s="2" t="str">
        <f>IFERROR(VLOOKUP(E455,[1]FINAL!$A$2:$M$699,MATCH("Team",[1]FINAL!$A$1:$K$1,0),0),"")</f>
        <v/>
      </c>
      <c r="I455" s="4" t="str">
        <f>IFERROR(VLOOKUP($A455&amp;$E438,DATA!$F$1:$H$500,MATCH("FULL OUT",DATA!$F$1:$H$1,0),0),"")</f>
        <v/>
      </c>
    </row>
    <row r="456" spans="1:9" x14ac:dyDescent="0.25">
      <c r="A456" s="6" t="str">
        <f t="shared" si="78"/>
        <v>GW27</v>
      </c>
      <c r="B456" s="7">
        <v>10</v>
      </c>
      <c r="C456" s="7" t="str">
        <f t="shared" si="77"/>
        <v>GW27-10</v>
      </c>
      <c r="D456" s="1" t="str">
        <f>IFERROR(VLOOKUP(E456,[1]FINAL!$A$2:$J$699,MATCH("Pos",[1]FINAL!$A$1:$J$1,0),0),"")</f>
        <v/>
      </c>
      <c r="E456" s="4" t="str">
        <f>IFERROR(VLOOKUP($A456&amp;$E439,DATA!$F$1:$G$500,MATCH("FULL IN",DATA!$F$1:$G$1,0),0),$E439)</f>
        <v/>
      </c>
      <c r="F456" s="2" t="str">
        <f t="shared" si="79"/>
        <v/>
      </c>
      <c r="G456" s="2" t="str">
        <f>IFERROR(VLOOKUP(E456,[1]FINAL!$A$2:$M$699,MATCH("Team",[1]FINAL!$A$1:$K$1,0),0),"")</f>
        <v/>
      </c>
      <c r="I456" s="4" t="str">
        <f>IFERROR(VLOOKUP($A456&amp;$E439,DATA!$F$1:$H$500,MATCH("FULL OUT",DATA!$F$1:$H$1,0),0),"")</f>
        <v/>
      </c>
    </row>
    <row r="457" spans="1:9" x14ac:dyDescent="0.25">
      <c r="A457" s="6" t="str">
        <f t="shared" si="78"/>
        <v>GW27</v>
      </c>
      <c r="B457" s="7">
        <v>11</v>
      </c>
      <c r="C457" s="7" t="str">
        <f t="shared" si="77"/>
        <v>GW27-11</v>
      </c>
      <c r="D457" s="1" t="str">
        <f>IFERROR(VLOOKUP(E457,[1]FINAL!$A$2:$J$699,MATCH("Pos",[1]FINAL!$A$1:$J$1,0),0),"")</f>
        <v/>
      </c>
      <c r="E457" s="4" t="str">
        <f>IFERROR(VLOOKUP($A457&amp;$E440,DATA!$F$1:$G$500,MATCH("FULL IN",DATA!$F$1:$G$1,0),0),$E440)</f>
        <v/>
      </c>
      <c r="F457" s="2" t="str">
        <f t="shared" si="79"/>
        <v/>
      </c>
      <c r="G457" s="2" t="str">
        <f>IFERROR(VLOOKUP(E457,[1]FINAL!$A$2:$M$699,MATCH("Team",[1]FINAL!$A$1:$K$1,0),0),"")</f>
        <v/>
      </c>
      <c r="I457" s="4" t="str">
        <f>IFERROR(VLOOKUP($A457&amp;$E440,DATA!$F$1:$H$500,MATCH("FULL OUT",DATA!$F$1:$H$1,0),0),"")</f>
        <v/>
      </c>
    </row>
    <row r="458" spans="1:9" x14ac:dyDescent="0.25">
      <c r="A458" s="6" t="str">
        <f t="shared" si="78"/>
        <v>GW27</v>
      </c>
      <c r="B458" s="7">
        <v>12</v>
      </c>
      <c r="C458" s="7" t="str">
        <f t="shared" si="77"/>
        <v>GW27-12</v>
      </c>
      <c r="D458" s="1" t="str">
        <f>IFERROR(VLOOKUP(E458,[1]FINAL!$A$2:$J$699,MATCH("Pos",[1]FINAL!$A$1:$J$1,0),0),"")</f>
        <v/>
      </c>
      <c r="E458" s="4" t="str">
        <f>IFERROR(VLOOKUP($A458&amp;$E441,DATA!$F$1:$G$500,MATCH("FULL IN",DATA!$F$1:$G$1,0),0),$E441)</f>
        <v/>
      </c>
      <c r="F458" s="2" t="str">
        <f t="shared" si="79"/>
        <v/>
      </c>
      <c r="G458" s="2" t="str">
        <f>IFERROR(VLOOKUP(E458,[1]FINAL!$A$2:$M$699,MATCH("Team",[1]FINAL!$A$1:$K$1,0),0),"")</f>
        <v/>
      </c>
      <c r="I458" s="4" t="str">
        <f>IFERROR(VLOOKUP($A458&amp;$E441,DATA!$F$1:$H$500,MATCH("FULL OUT",DATA!$F$1:$H$1,0),0),"")</f>
        <v/>
      </c>
    </row>
    <row r="459" spans="1:9" x14ac:dyDescent="0.25">
      <c r="A459" s="6" t="str">
        <f t="shared" si="78"/>
        <v>GW27</v>
      </c>
      <c r="B459" s="7">
        <v>13</v>
      </c>
      <c r="C459" s="7" t="str">
        <f t="shared" si="77"/>
        <v>GW27-13</v>
      </c>
      <c r="D459" s="1" t="str">
        <f>IFERROR(VLOOKUP(E459,[1]FINAL!$A$2:$J$699,MATCH("Pos",[1]FINAL!$A$1:$J$1,0),0),"")</f>
        <v/>
      </c>
      <c r="E459" s="4" t="str">
        <f>IFERROR(VLOOKUP($A459&amp;$E442,DATA!$F$1:$G$500,MATCH("FULL IN",DATA!$F$1:$G$1,0),0),$E442)</f>
        <v/>
      </c>
      <c r="F459" s="2" t="str">
        <f t="shared" si="79"/>
        <v/>
      </c>
      <c r="G459" s="2" t="str">
        <f>IFERROR(VLOOKUP(E459,[1]FINAL!$A$2:$M$699,MATCH("Team",[1]FINAL!$A$1:$K$1,0),0),"")</f>
        <v/>
      </c>
      <c r="I459" s="4" t="str">
        <f>IFERROR(VLOOKUP($A459&amp;$E442,DATA!$F$1:$H$500,MATCH("FULL OUT",DATA!$F$1:$H$1,0),0),"")</f>
        <v/>
      </c>
    </row>
    <row r="460" spans="1:9" x14ac:dyDescent="0.25">
      <c r="A460" s="6" t="str">
        <f t="shared" si="78"/>
        <v>GW27</v>
      </c>
      <c r="B460" s="7">
        <v>14</v>
      </c>
      <c r="C460" s="7" t="str">
        <f t="shared" si="77"/>
        <v>GW27-14</v>
      </c>
      <c r="D460" s="1" t="str">
        <f>IFERROR(VLOOKUP(E460,[1]FINAL!$A$2:$J$699,MATCH("Pos",[1]FINAL!$A$1:$J$1,0),0),"")</f>
        <v/>
      </c>
      <c r="E460" s="4" t="str">
        <f>IFERROR(VLOOKUP($A460&amp;$E443,DATA!$F$1:$G$500,MATCH("FULL IN",DATA!$F$1:$G$1,0),0),$E443)</f>
        <v/>
      </c>
      <c r="F460" s="2" t="str">
        <f t="shared" si="79"/>
        <v/>
      </c>
      <c r="G460" s="2" t="str">
        <f>IFERROR(VLOOKUP(E460,[1]FINAL!$A$2:$M$699,MATCH("Team",[1]FINAL!$A$1:$K$1,0),0),"")</f>
        <v/>
      </c>
      <c r="I460" s="4" t="str">
        <f>IFERROR(VLOOKUP($A460&amp;$E443,DATA!$F$1:$H$500,MATCH("FULL OUT",DATA!$F$1:$H$1,0),0),"")</f>
        <v/>
      </c>
    </row>
    <row r="461" spans="1:9" x14ac:dyDescent="0.25">
      <c r="A461" s="6" t="str">
        <f t="shared" si="78"/>
        <v>GW27</v>
      </c>
      <c r="B461" s="7">
        <v>15</v>
      </c>
      <c r="C461" s="7" t="str">
        <f t="shared" si="77"/>
        <v>GW27-15</v>
      </c>
      <c r="D461" s="1" t="str">
        <f>IFERROR(VLOOKUP(E461,[1]FINAL!$A$2:$J$699,MATCH("Pos",[1]FINAL!$A$1:$J$1,0),0),"")</f>
        <v/>
      </c>
      <c r="E461" s="4" t="str">
        <f>IFERROR(VLOOKUP($A461&amp;$E444,DATA!$F$1:$G$500,MATCH("FULL IN",DATA!$F$1:$G$1,0),0),$E444)</f>
        <v/>
      </c>
      <c r="F461" s="2" t="str">
        <f t="shared" si="79"/>
        <v/>
      </c>
      <c r="G461" s="2" t="str">
        <f>IFERROR(VLOOKUP(E461,[1]FINAL!$A$2:$M$699,MATCH("Team",[1]FINAL!$A$1:$K$1,0),0),"")</f>
        <v/>
      </c>
      <c r="I461" s="4" t="str">
        <f>IFERROR(VLOOKUP($A461&amp;$E444,DATA!$F$1:$H$500,MATCH("FULL OUT",DATA!$F$1:$H$1,0),0),"")</f>
        <v/>
      </c>
    </row>
    <row r="464" spans="1:9" x14ac:dyDescent="0.25">
      <c r="A464" s="6" t="s">
        <v>30</v>
      </c>
      <c r="B464" s="7">
        <v>1</v>
      </c>
      <c r="C464" s="7" t="str">
        <f>A464&amp;-B464</f>
        <v>GW28-1</v>
      </c>
      <c r="D464" s="1" t="str">
        <f>IFERROR(VLOOKUP(E464,[1]FINAL!$A$2:$J$699,MATCH("Pos",[1]FINAL!$A$1:$J$1,0),0),"")</f>
        <v/>
      </c>
      <c r="E464" s="4" t="str">
        <f>IFERROR(VLOOKUP($A464&amp;$E447,DATA!$F$1:$G$500,MATCH("FULL IN",DATA!$F$1:$G$1,0),0),$E447)</f>
        <v>Player Name</v>
      </c>
      <c r="G464" s="2" t="str">
        <f>IFERROR(VLOOKUP(E464,[1]FINAL!$A$2:$M$699,MATCH("Team",[1]FINAL!$A$1:$K$1,0),0),"")</f>
        <v/>
      </c>
      <c r="I464" s="4" t="str">
        <f>IFERROR(VLOOKUP($A464&amp;$E447,DATA!$F$1:$H$500,MATCH("FULL OUT",DATA!$F$1:$H$1,0),0),"")</f>
        <v/>
      </c>
    </row>
    <row r="465" spans="1:9" x14ac:dyDescent="0.25">
      <c r="A465" s="6" t="str">
        <f>A464</f>
        <v>GW28</v>
      </c>
      <c r="B465" s="7">
        <v>2</v>
      </c>
      <c r="C465" s="7" t="str">
        <f t="shared" ref="C465:C478" si="80">A465&amp;-B465</f>
        <v>GW28-2</v>
      </c>
      <c r="D465" s="1" t="str">
        <f>IFERROR(VLOOKUP(E465,[1]FINAL!$A$2:$J$699,MATCH("Pos",[1]FINAL!$A$1:$J$1,0),0),"")</f>
        <v/>
      </c>
      <c r="E465" s="4" t="str">
        <f>IFERROR(VLOOKUP($A465&amp;$E448,DATA!$F$1:$G$500,MATCH("FULL IN",DATA!$F$1:$G$1,0),0),$E448)</f>
        <v/>
      </c>
      <c r="F465" s="2" t="str">
        <f>IF(Z465="","","IN")</f>
        <v/>
      </c>
      <c r="G465" s="2" t="str">
        <f>IFERROR(VLOOKUP(E465,[1]FINAL!$A$2:$M$699,MATCH("Team",[1]FINAL!$A$1:$K$1,0),0),"")</f>
        <v/>
      </c>
      <c r="I465" s="4" t="str">
        <f>IFERROR(VLOOKUP($A465&amp;$E448,DATA!$F$1:$H$500,MATCH("FULL OUT",DATA!$F$1:$H$1,0),0),"")</f>
        <v/>
      </c>
    </row>
    <row r="466" spans="1:9" x14ac:dyDescent="0.25">
      <c r="A466" s="6" t="str">
        <f t="shared" ref="A466:A478" si="81">A465</f>
        <v>GW28</v>
      </c>
      <c r="B466" s="7">
        <v>3</v>
      </c>
      <c r="C466" s="7" t="str">
        <f t="shared" si="80"/>
        <v>GW28-3</v>
      </c>
      <c r="D466" s="1" t="str">
        <f>IFERROR(VLOOKUP(E466,[1]FINAL!$A$2:$J$699,MATCH("Pos",[1]FINAL!$A$1:$J$1,0),0),"")</f>
        <v/>
      </c>
      <c r="E466" s="4" t="str">
        <f>IFERROR(VLOOKUP($A466&amp;$E449,DATA!$F$1:$G$500,MATCH("FULL IN",DATA!$F$1:$G$1,0),0),$E449)</f>
        <v/>
      </c>
      <c r="F466" s="2" t="str">
        <f t="shared" ref="F466:F478" si="82">IF(Z466="","","IN")</f>
        <v/>
      </c>
      <c r="G466" s="2" t="str">
        <f>IFERROR(VLOOKUP(E466,[1]FINAL!$A$2:$M$699,MATCH("Team",[1]FINAL!$A$1:$K$1,0),0),"")</f>
        <v/>
      </c>
      <c r="I466" s="4" t="str">
        <f>IFERROR(VLOOKUP($A466&amp;$E449,DATA!$F$1:$H$500,MATCH("FULL OUT",DATA!$F$1:$H$1,0),0),"")</f>
        <v/>
      </c>
    </row>
    <row r="467" spans="1:9" x14ac:dyDescent="0.25">
      <c r="A467" s="6" t="str">
        <f t="shared" si="81"/>
        <v>GW28</v>
      </c>
      <c r="B467" s="7">
        <v>4</v>
      </c>
      <c r="C467" s="7" t="str">
        <f t="shared" si="80"/>
        <v>GW28-4</v>
      </c>
      <c r="D467" s="1" t="str">
        <f>IFERROR(VLOOKUP(E467,[1]FINAL!$A$2:$J$699,MATCH("Pos",[1]FINAL!$A$1:$J$1,0),0),"")</f>
        <v/>
      </c>
      <c r="E467" s="4" t="str">
        <f>IFERROR(VLOOKUP($A467&amp;$E450,DATA!$F$1:$G$500,MATCH("FULL IN",DATA!$F$1:$G$1,0),0),$E450)</f>
        <v/>
      </c>
      <c r="F467" s="2" t="str">
        <f t="shared" si="82"/>
        <v/>
      </c>
      <c r="G467" s="2" t="str">
        <f>IFERROR(VLOOKUP(E467,[1]FINAL!$A$2:$M$699,MATCH("Team",[1]FINAL!$A$1:$K$1,0),0),"")</f>
        <v/>
      </c>
      <c r="I467" s="4" t="str">
        <f>IFERROR(VLOOKUP($A467&amp;$E450,DATA!$F$1:$H$500,MATCH("FULL OUT",DATA!$F$1:$H$1,0),0),"")</f>
        <v/>
      </c>
    </row>
    <row r="468" spans="1:9" x14ac:dyDescent="0.25">
      <c r="A468" s="6" t="str">
        <f t="shared" si="81"/>
        <v>GW28</v>
      </c>
      <c r="B468" s="7">
        <v>5</v>
      </c>
      <c r="C468" s="7" t="str">
        <f t="shared" si="80"/>
        <v>GW28-5</v>
      </c>
      <c r="D468" s="1" t="str">
        <f>IFERROR(VLOOKUP(E468,[1]FINAL!$A$2:$J$699,MATCH("Pos",[1]FINAL!$A$1:$J$1,0),0),"")</f>
        <v/>
      </c>
      <c r="E468" s="4" t="str">
        <f>IFERROR(VLOOKUP($A468&amp;$E451,DATA!$F$1:$G$500,MATCH("FULL IN",DATA!$F$1:$G$1,0),0),$E451)</f>
        <v/>
      </c>
      <c r="F468" s="2" t="str">
        <f t="shared" si="82"/>
        <v/>
      </c>
      <c r="G468" s="2" t="str">
        <f>IFERROR(VLOOKUP(E468,[1]FINAL!$A$2:$M$699,MATCH("Team",[1]FINAL!$A$1:$K$1,0),0),"")</f>
        <v/>
      </c>
      <c r="I468" s="4" t="str">
        <f>IFERROR(VLOOKUP($A468&amp;$E451,DATA!$F$1:$H$500,MATCH("FULL OUT",DATA!$F$1:$H$1,0),0),"")</f>
        <v/>
      </c>
    </row>
    <row r="469" spans="1:9" x14ac:dyDescent="0.25">
      <c r="A469" s="6" t="str">
        <f t="shared" si="81"/>
        <v>GW28</v>
      </c>
      <c r="B469" s="7">
        <v>6</v>
      </c>
      <c r="C469" s="7" t="str">
        <f t="shared" si="80"/>
        <v>GW28-6</v>
      </c>
      <c r="D469" s="1" t="str">
        <f>IFERROR(VLOOKUP(E469,[1]FINAL!$A$2:$J$699,MATCH("Pos",[1]FINAL!$A$1:$J$1,0),0),"")</f>
        <v/>
      </c>
      <c r="E469" s="4" t="str">
        <f>IFERROR(VLOOKUP($A469&amp;$E452,DATA!$F$1:$G$500,MATCH("FULL IN",DATA!$F$1:$G$1,0),0),$E452)</f>
        <v/>
      </c>
      <c r="F469" s="2" t="str">
        <f t="shared" si="82"/>
        <v/>
      </c>
      <c r="G469" s="2" t="str">
        <f>IFERROR(VLOOKUP(E469,[1]FINAL!$A$2:$M$699,MATCH("Team",[1]FINAL!$A$1:$K$1,0),0),"")</f>
        <v/>
      </c>
      <c r="I469" s="4" t="str">
        <f>IFERROR(VLOOKUP($A469&amp;$E452,DATA!$F$1:$H$500,MATCH("FULL OUT",DATA!$F$1:$H$1,0),0),"")</f>
        <v/>
      </c>
    </row>
    <row r="470" spans="1:9" x14ac:dyDescent="0.25">
      <c r="A470" s="6" t="str">
        <f t="shared" si="81"/>
        <v>GW28</v>
      </c>
      <c r="B470" s="7">
        <v>7</v>
      </c>
      <c r="C470" s="7" t="str">
        <f t="shared" si="80"/>
        <v>GW28-7</v>
      </c>
      <c r="D470" s="1" t="str">
        <f>IFERROR(VLOOKUP(E470,[1]FINAL!$A$2:$J$699,MATCH("Pos",[1]FINAL!$A$1:$J$1,0),0),"")</f>
        <v/>
      </c>
      <c r="E470" s="4" t="str">
        <f>IFERROR(VLOOKUP($A470&amp;$E453,DATA!$F$1:$G$500,MATCH("FULL IN",DATA!$F$1:$G$1,0),0),$E453)</f>
        <v/>
      </c>
      <c r="F470" s="2" t="str">
        <f t="shared" si="82"/>
        <v/>
      </c>
      <c r="G470" s="2" t="str">
        <f>IFERROR(VLOOKUP(E470,[1]FINAL!$A$2:$M$699,MATCH("Team",[1]FINAL!$A$1:$K$1,0),0),"")</f>
        <v/>
      </c>
      <c r="I470" s="4" t="str">
        <f>IFERROR(VLOOKUP($A470&amp;$E453,DATA!$F$1:$H$500,MATCH("FULL OUT",DATA!$F$1:$H$1,0),0),"")</f>
        <v/>
      </c>
    </row>
    <row r="471" spans="1:9" x14ac:dyDescent="0.25">
      <c r="A471" s="6" t="str">
        <f t="shared" si="81"/>
        <v>GW28</v>
      </c>
      <c r="B471" s="7">
        <v>8</v>
      </c>
      <c r="C471" s="7" t="str">
        <f t="shared" si="80"/>
        <v>GW28-8</v>
      </c>
      <c r="D471" s="1" t="str">
        <f>IFERROR(VLOOKUP(E471,[1]FINAL!$A$2:$J$699,MATCH("Pos",[1]FINAL!$A$1:$J$1,0),0),"")</f>
        <v/>
      </c>
      <c r="E471" s="4" t="str">
        <f>IFERROR(VLOOKUP($A471&amp;$E454,DATA!$F$1:$G$500,MATCH("FULL IN",DATA!$F$1:$G$1,0),0),$E454)</f>
        <v/>
      </c>
      <c r="F471" s="2" t="str">
        <f t="shared" si="82"/>
        <v/>
      </c>
      <c r="G471" s="2" t="str">
        <f>IFERROR(VLOOKUP(E471,[1]FINAL!$A$2:$M$699,MATCH("Team",[1]FINAL!$A$1:$K$1,0),0),"")</f>
        <v/>
      </c>
      <c r="I471" s="4" t="str">
        <f>IFERROR(VLOOKUP($A471&amp;$E454,DATA!$F$1:$H$500,MATCH("FULL OUT",DATA!$F$1:$H$1,0),0),"")</f>
        <v/>
      </c>
    </row>
    <row r="472" spans="1:9" x14ac:dyDescent="0.25">
      <c r="A472" s="6" t="str">
        <f t="shared" si="81"/>
        <v>GW28</v>
      </c>
      <c r="B472" s="7">
        <v>9</v>
      </c>
      <c r="C472" s="7" t="str">
        <f t="shared" si="80"/>
        <v>GW28-9</v>
      </c>
      <c r="D472" s="1" t="str">
        <f>IFERROR(VLOOKUP(E472,[1]FINAL!$A$2:$J$699,MATCH("Pos",[1]FINAL!$A$1:$J$1,0),0),"")</f>
        <v/>
      </c>
      <c r="E472" s="4" t="str">
        <f>IFERROR(VLOOKUP($A472&amp;$E455,DATA!$F$1:$G$500,MATCH("FULL IN",DATA!$F$1:$G$1,0),0),$E455)</f>
        <v/>
      </c>
      <c r="F472" s="2" t="str">
        <f t="shared" si="82"/>
        <v/>
      </c>
      <c r="G472" s="2" t="str">
        <f>IFERROR(VLOOKUP(E472,[1]FINAL!$A$2:$M$699,MATCH("Team",[1]FINAL!$A$1:$K$1,0),0),"")</f>
        <v/>
      </c>
      <c r="I472" s="4" t="str">
        <f>IFERROR(VLOOKUP($A472&amp;$E455,DATA!$F$1:$H$500,MATCH("FULL OUT",DATA!$F$1:$H$1,0),0),"")</f>
        <v/>
      </c>
    </row>
    <row r="473" spans="1:9" x14ac:dyDescent="0.25">
      <c r="A473" s="6" t="str">
        <f t="shared" si="81"/>
        <v>GW28</v>
      </c>
      <c r="B473" s="7">
        <v>10</v>
      </c>
      <c r="C473" s="7" t="str">
        <f t="shared" si="80"/>
        <v>GW28-10</v>
      </c>
      <c r="D473" s="1" t="str">
        <f>IFERROR(VLOOKUP(E473,[1]FINAL!$A$2:$J$699,MATCH("Pos",[1]FINAL!$A$1:$J$1,0),0),"")</f>
        <v/>
      </c>
      <c r="E473" s="4" t="str">
        <f>IFERROR(VLOOKUP($A473&amp;$E456,DATA!$F$1:$G$500,MATCH("FULL IN",DATA!$F$1:$G$1,0),0),$E456)</f>
        <v/>
      </c>
      <c r="F473" s="2" t="str">
        <f t="shared" si="82"/>
        <v/>
      </c>
      <c r="G473" s="2" t="str">
        <f>IFERROR(VLOOKUP(E473,[1]FINAL!$A$2:$M$699,MATCH("Team",[1]FINAL!$A$1:$K$1,0),0),"")</f>
        <v/>
      </c>
      <c r="I473" s="4" t="str">
        <f>IFERROR(VLOOKUP($A473&amp;$E456,DATA!$F$1:$H$500,MATCH("FULL OUT",DATA!$F$1:$H$1,0),0),"")</f>
        <v/>
      </c>
    </row>
    <row r="474" spans="1:9" x14ac:dyDescent="0.25">
      <c r="A474" s="6" t="str">
        <f t="shared" si="81"/>
        <v>GW28</v>
      </c>
      <c r="B474" s="7">
        <v>11</v>
      </c>
      <c r="C474" s="7" t="str">
        <f t="shared" si="80"/>
        <v>GW28-11</v>
      </c>
      <c r="D474" s="1" t="str">
        <f>IFERROR(VLOOKUP(E474,[1]FINAL!$A$2:$J$699,MATCH("Pos",[1]FINAL!$A$1:$J$1,0),0),"")</f>
        <v/>
      </c>
      <c r="E474" s="4" t="str">
        <f>IFERROR(VLOOKUP($A474&amp;$E457,DATA!$F$1:$G$500,MATCH("FULL IN",DATA!$F$1:$G$1,0),0),$E457)</f>
        <v/>
      </c>
      <c r="F474" s="2" t="str">
        <f t="shared" si="82"/>
        <v/>
      </c>
      <c r="G474" s="2" t="str">
        <f>IFERROR(VLOOKUP(E474,[1]FINAL!$A$2:$M$699,MATCH("Team",[1]FINAL!$A$1:$K$1,0),0),"")</f>
        <v/>
      </c>
      <c r="I474" s="4" t="str">
        <f>IFERROR(VLOOKUP($A474&amp;$E457,DATA!$F$1:$H$500,MATCH("FULL OUT",DATA!$F$1:$H$1,0),0),"")</f>
        <v/>
      </c>
    </row>
    <row r="475" spans="1:9" x14ac:dyDescent="0.25">
      <c r="A475" s="6" t="str">
        <f t="shared" si="81"/>
        <v>GW28</v>
      </c>
      <c r="B475" s="7">
        <v>12</v>
      </c>
      <c r="C475" s="7" t="str">
        <f t="shared" si="80"/>
        <v>GW28-12</v>
      </c>
      <c r="D475" s="1" t="str">
        <f>IFERROR(VLOOKUP(E475,[1]FINAL!$A$2:$J$699,MATCH("Pos",[1]FINAL!$A$1:$J$1,0),0),"")</f>
        <v/>
      </c>
      <c r="E475" s="4" t="str">
        <f>IFERROR(VLOOKUP($A475&amp;$E458,DATA!$F$1:$G$500,MATCH("FULL IN",DATA!$F$1:$G$1,0),0),$E458)</f>
        <v/>
      </c>
      <c r="F475" s="2" t="str">
        <f t="shared" si="82"/>
        <v/>
      </c>
      <c r="G475" s="2" t="str">
        <f>IFERROR(VLOOKUP(E475,[1]FINAL!$A$2:$M$699,MATCH("Team",[1]FINAL!$A$1:$K$1,0),0),"")</f>
        <v/>
      </c>
      <c r="I475" s="4" t="str">
        <f>IFERROR(VLOOKUP($A475&amp;$E458,DATA!$F$1:$H$500,MATCH("FULL OUT",DATA!$F$1:$H$1,0),0),"")</f>
        <v/>
      </c>
    </row>
    <row r="476" spans="1:9" x14ac:dyDescent="0.25">
      <c r="A476" s="6" t="str">
        <f t="shared" si="81"/>
        <v>GW28</v>
      </c>
      <c r="B476" s="7">
        <v>13</v>
      </c>
      <c r="C476" s="7" t="str">
        <f t="shared" si="80"/>
        <v>GW28-13</v>
      </c>
      <c r="D476" s="1" t="str">
        <f>IFERROR(VLOOKUP(E476,[1]FINAL!$A$2:$J$699,MATCH("Pos",[1]FINAL!$A$1:$J$1,0),0),"")</f>
        <v/>
      </c>
      <c r="E476" s="4" t="str">
        <f>IFERROR(VLOOKUP($A476&amp;$E459,DATA!$F$1:$G$500,MATCH("FULL IN",DATA!$F$1:$G$1,0),0),$E459)</f>
        <v/>
      </c>
      <c r="F476" s="2" t="str">
        <f t="shared" si="82"/>
        <v/>
      </c>
      <c r="G476" s="2" t="str">
        <f>IFERROR(VLOOKUP(E476,[1]FINAL!$A$2:$M$699,MATCH("Team",[1]FINAL!$A$1:$K$1,0),0),"")</f>
        <v/>
      </c>
      <c r="I476" s="4" t="str">
        <f>IFERROR(VLOOKUP($A476&amp;$E459,DATA!$F$1:$H$500,MATCH("FULL OUT",DATA!$F$1:$H$1,0),0),"")</f>
        <v/>
      </c>
    </row>
    <row r="477" spans="1:9" x14ac:dyDescent="0.25">
      <c r="A477" s="6" t="str">
        <f t="shared" si="81"/>
        <v>GW28</v>
      </c>
      <c r="B477" s="7">
        <v>14</v>
      </c>
      <c r="C477" s="7" t="str">
        <f t="shared" si="80"/>
        <v>GW28-14</v>
      </c>
      <c r="D477" s="1" t="str">
        <f>IFERROR(VLOOKUP(E477,[1]FINAL!$A$2:$J$699,MATCH("Pos",[1]FINAL!$A$1:$J$1,0),0),"")</f>
        <v/>
      </c>
      <c r="E477" s="4" t="str">
        <f>IFERROR(VLOOKUP($A477&amp;$E460,DATA!$F$1:$G$500,MATCH("FULL IN",DATA!$F$1:$G$1,0),0),$E460)</f>
        <v/>
      </c>
      <c r="F477" s="2" t="str">
        <f t="shared" si="82"/>
        <v/>
      </c>
      <c r="G477" s="2" t="str">
        <f>IFERROR(VLOOKUP(E477,[1]FINAL!$A$2:$M$699,MATCH("Team",[1]FINAL!$A$1:$K$1,0),0),"")</f>
        <v/>
      </c>
      <c r="I477" s="4" t="str">
        <f>IFERROR(VLOOKUP($A477&amp;$E460,DATA!$F$1:$H$500,MATCH("FULL OUT",DATA!$F$1:$H$1,0),0),"")</f>
        <v/>
      </c>
    </row>
    <row r="478" spans="1:9" x14ac:dyDescent="0.25">
      <c r="A478" s="6" t="str">
        <f t="shared" si="81"/>
        <v>GW28</v>
      </c>
      <c r="B478" s="7">
        <v>15</v>
      </c>
      <c r="C478" s="7" t="str">
        <f t="shared" si="80"/>
        <v>GW28-15</v>
      </c>
      <c r="D478" s="1" t="str">
        <f>IFERROR(VLOOKUP(E478,[1]FINAL!$A$2:$J$699,MATCH("Pos",[1]FINAL!$A$1:$J$1,0),0),"")</f>
        <v/>
      </c>
      <c r="E478" s="4" t="str">
        <f>IFERROR(VLOOKUP($A478&amp;$E461,DATA!$F$1:$G$500,MATCH("FULL IN",DATA!$F$1:$G$1,0),0),$E461)</f>
        <v/>
      </c>
      <c r="F478" s="2" t="str">
        <f t="shared" si="82"/>
        <v/>
      </c>
      <c r="G478" s="2" t="str">
        <f>IFERROR(VLOOKUP(E478,[1]FINAL!$A$2:$M$699,MATCH("Team",[1]FINAL!$A$1:$K$1,0),0),"")</f>
        <v/>
      </c>
      <c r="I478" s="4" t="str">
        <f>IFERROR(VLOOKUP($A478&amp;$E461,DATA!$F$1:$H$500,MATCH("FULL OUT",DATA!$F$1:$H$1,0),0),"")</f>
        <v/>
      </c>
    </row>
    <row r="481" spans="1:9" x14ac:dyDescent="0.25">
      <c r="A481" s="6" t="s">
        <v>31</v>
      </c>
      <c r="B481" s="7">
        <v>1</v>
      </c>
      <c r="C481" s="7" t="str">
        <f>A481&amp;-B481</f>
        <v>GW29-1</v>
      </c>
      <c r="D481" s="1" t="str">
        <f>IFERROR(VLOOKUP(E481,[1]FINAL!$A$2:$J$699,MATCH("Pos",[1]FINAL!$A$1:$J$1,0),0),"")</f>
        <v/>
      </c>
      <c r="E481" s="4" t="str">
        <f>IFERROR(VLOOKUP($A481&amp;$E464,DATA!$F$1:$G$500,MATCH("FULL IN",DATA!$F$1:$G$1,0),0),$E464)</f>
        <v>Player Name</v>
      </c>
      <c r="G481" s="2" t="str">
        <f>IFERROR(VLOOKUP(E481,[1]FINAL!$A$2:$M$699,MATCH("Team",[1]FINAL!$A$1:$K$1,0),0),"")</f>
        <v/>
      </c>
      <c r="I481" s="4" t="str">
        <f>IFERROR(VLOOKUP($A481&amp;$E464,DATA!$F$1:$H$500,MATCH("FULL OUT",DATA!$F$1:$H$1,0),0),"")</f>
        <v/>
      </c>
    </row>
    <row r="482" spans="1:9" x14ac:dyDescent="0.25">
      <c r="A482" s="6" t="str">
        <f>A481</f>
        <v>GW29</v>
      </c>
      <c r="B482" s="7">
        <v>2</v>
      </c>
      <c r="C482" s="7" t="str">
        <f t="shared" ref="C482:C495" si="83">A482&amp;-B482</f>
        <v>GW29-2</v>
      </c>
      <c r="D482" s="1" t="str">
        <f>IFERROR(VLOOKUP(E482,[1]FINAL!$A$2:$J$699,MATCH("Pos",[1]FINAL!$A$1:$J$1,0),0),"")</f>
        <v/>
      </c>
      <c r="E482" s="4" t="str">
        <f>IFERROR(VLOOKUP($A482&amp;$E465,DATA!$F$1:$G$500,MATCH("FULL IN",DATA!$F$1:$G$1,0),0),$E465)</f>
        <v/>
      </c>
      <c r="F482" s="2" t="str">
        <f>IF(Z482="","","IN")</f>
        <v/>
      </c>
      <c r="G482" s="2" t="str">
        <f>IFERROR(VLOOKUP(E482,[1]FINAL!$A$2:$M$699,MATCH("Team",[1]FINAL!$A$1:$K$1,0),0),"")</f>
        <v/>
      </c>
      <c r="I482" s="4" t="str">
        <f>IFERROR(VLOOKUP($A482&amp;$E465,DATA!$F$1:$H$500,MATCH("FULL OUT",DATA!$F$1:$H$1,0),0),"")</f>
        <v/>
      </c>
    </row>
    <row r="483" spans="1:9" x14ac:dyDescent="0.25">
      <c r="A483" s="6" t="str">
        <f t="shared" ref="A483:A495" si="84">A482</f>
        <v>GW29</v>
      </c>
      <c r="B483" s="7">
        <v>3</v>
      </c>
      <c r="C483" s="7" t="str">
        <f t="shared" si="83"/>
        <v>GW29-3</v>
      </c>
      <c r="D483" s="1" t="str">
        <f>IFERROR(VLOOKUP(E483,[1]FINAL!$A$2:$J$699,MATCH("Pos",[1]FINAL!$A$1:$J$1,0),0),"")</f>
        <v/>
      </c>
      <c r="E483" s="4" t="str">
        <f>IFERROR(VLOOKUP($A483&amp;$E466,DATA!$F$1:$G$500,MATCH("FULL IN",DATA!$F$1:$G$1,0),0),$E466)</f>
        <v/>
      </c>
      <c r="F483" s="2" t="str">
        <f t="shared" ref="F483:F495" si="85">IF(Z483="","","IN")</f>
        <v/>
      </c>
      <c r="G483" s="2" t="str">
        <f>IFERROR(VLOOKUP(E483,[1]FINAL!$A$2:$M$699,MATCH("Team",[1]FINAL!$A$1:$K$1,0),0),"")</f>
        <v/>
      </c>
      <c r="I483" s="4" t="str">
        <f>IFERROR(VLOOKUP($A483&amp;$E466,DATA!$F$1:$H$500,MATCH("FULL OUT",DATA!$F$1:$H$1,0),0),"")</f>
        <v/>
      </c>
    </row>
    <row r="484" spans="1:9" x14ac:dyDescent="0.25">
      <c r="A484" s="6" t="str">
        <f t="shared" si="84"/>
        <v>GW29</v>
      </c>
      <c r="B484" s="7">
        <v>4</v>
      </c>
      <c r="C484" s="7" t="str">
        <f t="shared" si="83"/>
        <v>GW29-4</v>
      </c>
      <c r="D484" s="1" t="str">
        <f>IFERROR(VLOOKUP(E484,[1]FINAL!$A$2:$J$699,MATCH("Pos",[1]FINAL!$A$1:$J$1,0),0),"")</f>
        <v/>
      </c>
      <c r="E484" s="4" t="str">
        <f>IFERROR(VLOOKUP($A484&amp;$E467,DATA!$F$1:$G$500,MATCH("FULL IN",DATA!$F$1:$G$1,0),0),$E467)</f>
        <v/>
      </c>
      <c r="F484" s="2" t="str">
        <f t="shared" si="85"/>
        <v/>
      </c>
      <c r="G484" s="2" t="str">
        <f>IFERROR(VLOOKUP(E484,[1]FINAL!$A$2:$M$699,MATCH("Team",[1]FINAL!$A$1:$K$1,0),0),"")</f>
        <v/>
      </c>
      <c r="I484" s="4" t="str">
        <f>IFERROR(VLOOKUP($A484&amp;$E467,DATA!$F$1:$H$500,MATCH("FULL OUT",DATA!$F$1:$H$1,0),0),"")</f>
        <v/>
      </c>
    </row>
    <row r="485" spans="1:9" x14ac:dyDescent="0.25">
      <c r="A485" s="6" t="str">
        <f t="shared" si="84"/>
        <v>GW29</v>
      </c>
      <c r="B485" s="7">
        <v>5</v>
      </c>
      <c r="C485" s="7" t="str">
        <f t="shared" si="83"/>
        <v>GW29-5</v>
      </c>
      <c r="D485" s="1" t="str">
        <f>IFERROR(VLOOKUP(E485,[1]FINAL!$A$2:$J$699,MATCH("Pos",[1]FINAL!$A$1:$J$1,0),0),"")</f>
        <v/>
      </c>
      <c r="E485" s="4" t="str">
        <f>IFERROR(VLOOKUP($A485&amp;$E468,DATA!$F$1:$G$500,MATCH("FULL IN",DATA!$F$1:$G$1,0),0),$E468)</f>
        <v/>
      </c>
      <c r="F485" s="2" t="str">
        <f t="shared" si="85"/>
        <v/>
      </c>
      <c r="G485" s="2" t="str">
        <f>IFERROR(VLOOKUP(E485,[1]FINAL!$A$2:$M$699,MATCH("Team",[1]FINAL!$A$1:$K$1,0),0),"")</f>
        <v/>
      </c>
      <c r="I485" s="4" t="str">
        <f>IFERROR(VLOOKUP($A485&amp;$E468,DATA!$F$1:$H$500,MATCH("FULL OUT",DATA!$F$1:$H$1,0),0),"")</f>
        <v/>
      </c>
    </row>
    <row r="486" spans="1:9" x14ac:dyDescent="0.25">
      <c r="A486" s="6" t="str">
        <f t="shared" si="84"/>
        <v>GW29</v>
      </c>
      <c r="B486" s="7">
        <v>6</v>
      </c>
      <c r="C486" s="7" t="str">
        <f t="shared" si="83"/>
        <v>GW29-6</v>
      </c>
      <c r="D486" s="1" t="str">
        <f>IFERROR(VLOOKUP(E486,[1]FINAL!$A$2:$J$699,MATCH("Pos",[1]FINAL!$A$1:$J$1,0),0),"")</f>
        <v/>
      </c>
      <c r="E486" s="4" t="str">
        <f>IFERROR(VLOOKUP($A486&amp;$E469,DATA!$F$1:$G$500,MATCH("FULL IN",DATA!$F$1:$G$1,0),0),$E469)</f>
        <v/>
      </c>
      <c r="F486" s="2" t="str">
        <f t="shared" si="85"/>
        <v/>
      </c>
      <c r="G486" s="2" t="str">
        <f>IFERROR(VLOOKUP(E486,[1]FINAL!$A$2:$M$699,MATCH("Team",[1]FINAL!$A$1:$K$1,0),0),"")</f>
        <v/>
      </c>
      <c r="I486" s="4" t="str">
        <f>IFERROR(VLOOKUP($A486&amp;$E469,DATA!$F$1:$H$500,MATCH("FULL OUT",DATA!$F$1:$H$1,0),0),"")</f>
        <v/>
      </c>
    </row>
    <row r="487" spans="1:9" x14ac:dyDescent="0.25">
      <c r="A487" s="6" t="str">
        <f t="shared" si="84"/>
        <v>GW29</v>
      </c>
      <c r="B487" s="7">
        <v>7</v>
      </c>
      <c r="C487" s="7" t="str">
        <f t="shared" si="83"/>
        <v>GW29-7</v>
      </c>
      <c r="D487" s="1" t="str">
        <f>IFERROR(VLOOKUP(E487,[1]FINAL!$A$2:$J$699,MATCH("Pos",[1]FINAL!$A$1:$J$1,0),0),"")</f>
        <v/>
      </c>
      <c r="E487" s="4" t="str">
        <f>IFERROR(VLOOKUP($A487&amp;$E470,DATA!$F$1:$G$500,MATCH("FULL IN",DATA!$F$1:$G$1,0),0),$E470)</f>
        <v/>
      </c>
      <c r="F487" s="2" t="str">
        <f t="shared" si="85"/>
        <v/>
      </c>
      <c r="G487" s="2" t="str">
        <f>IFERROR(VLOOKUP(E487,[1]FINAL!$A$2:$M$699,MATCH("Team",[1]FINAL!$A$1:$K$1,0),0),"")</f>
        <v/>
      </c>
      <c r="I487" s="4" t="str">
        <f>IFERROR(VLOOKUP($A487&amp;$E470,DATA!$F$1:$H$500,MATCH("FULL OUT",DATA!$F$1:$H$1,0),0),"")</f>
        <v/>
      </c>
    </row>
    <row r="488" spans="1:9" x14ac:dyDescent="0.25">
      <c r="A488" s="6" t="str">
        <f t="shared" si="84"/>
        <v>GW29</v>
      </c>
      <c r="B488" s="7">
        <v>8</v>
      </c>
      <c r="C488" s="7" t="str">
        <f t="shared" si="83"/>
        <v>GW29-8</v>
      </c>
      <c r="D488" s="1" t="str">
        <f>IFERROR(VLOOKUP(E488,[1]FINAL!$A$2:$J$699,MATCH("Pos",[1]FINAL!$A$1:$J$1,0),0),"")</f>
        <v/>
      </c>
      <c r="E488" s="4" t="str">
        <f>IFERROR(VLOOKUP($A488&amp;$E471,DATA!$F$1:$G$500,MATCH("FULL IN",DATA!$F$1:$G$1,0),0),$E471)</f>
        <v/>
      </c>
      <c r="F488" s="2" t="str">
        <f t="shared" si="85"/>
        <v/>
      </c>
      <c r="G488" s="2" t="str">
        <f>IFERROR(VLOOKUP(E488,[1]FINAL!$A$2:$M$699,MATCH("Team",[1]FINAL!$A$1:$K$1,0),0),"")</f>
        <v/>
      </c>
      <c r="I488" s="4" t="str">
        <f>IFERROR(VLOOKUP($A488&amp;$E471,DATA!$F$1:$H$500,MATCH("FULL OUT",DATA!$F$1:$H$1,0),0),"")</f>
        <v/>
      </c>
    </row>
    <row r="489" spans="1:9" x14ac:dyDescent="0.25">
      <c r="A489" s="6" t="str">
        <f t="shared" si="84"/>
        <v>GW29</v>
      </c>
      <c r="B489" s="7">
        <v>9</v>
      </c>
      <c r="C489" s="7" t="str">
        <f t="shared" si="83"/>
        <v>GW29-9</v>
      </c>
      <c r="D489" s="1" t="str">
        <f>IFERROR(VLOOKUP(E489,[1]FINAL!$A$2:$J$699,MATCH("Pos",[1]FINAL!$A$1:$J$1,0),0),"")</f>
        <v/>
      </c>
      <c r="E489" s="4" t="str">
        <f>IFERROR(VLOOKUP($A489&amp;$E472,DATA!$F$1:$G$500,MATCH("FULL IN",DATA!$F$1:$G$1,0),0),$E472)</f>
        <v/>
      </c>
      <c r="F489" s="2" t="str">
        <f t="shared" si="85"/>
        <v/>
      </c>
      <c r="G489" s="2" t="str">
        <f>IFERROR(VLOOKUP(E489,[1]FINAL!$A$2:$M$699,MATCH("Team",[1]FINAL!$A$1:$K$1,0),0),"")</f>
        <v/>
      </c>
      <c r="I489" s="4" t="str">
        <f>IFERROR(VLOOKUP($A489&amp;$E472,DATA!$F$1:$H$500,MATCH("FULL OUT",DATA!$F$1:$H$1,0),0),"")</f>
        <v/>
      </c>
    </row>
    <row r="490" spans="1:9" x14ac:dyDescent="0.25">
      <c r="A490" s="6" t="str">
        <f t="shared" si="84"/>
        <v>GW29</v>
      </c>
      <c r="B490" s="7">
        <v>10</v>
      </c>
      <c r="C490" s="7" t="str">
        <f t="shared" si="83"/>
        <v>GW29-10</v>
      </c>
      <c r="D490" s="1" t="str">
        <f>IFERROR(VLOOKUP(E490,[1]FINAL!$A$2:$J$699,MATCH("Pos",[1]FINAL!$A$1:$J$1,0),0),"")</f>
        <v/>
      </c>
      <c r="E490" s="4" t="str">
        <f>IFERROR(VLOOKUP($A490&amp;$E473,DATA!$F$1:$G$500,MATCH("FULL IN",DATA!$F$1:$G$1,0),0),$E473)</f>
        <v/>
      </c>
      <c r="F490" s="2" t="str">
        <f t="shared" si="85"/>
        <v/>
      </c>
      <c r="G490" s="2" t="str">
        <f>IFERROR(VLOOKUP(E490,[1]FINAL!$A$2:$M$699,MATCH("Team",[1]FINAL!$A$1:$K$1,0),0),"")</f>
        <v/>
      </c>
      <c r="I490" s="4" t="str">
        <f>IFERROR(VLOOKUP($A490&amp;$E473,DATA!$F$1:$H$500,MATCH("FULL OUT",DATA!$F$1:$H$1,0),0),"")</f>
        <v/>
      </c>
    </row>
    <row r="491" spans="1:9" x14ac:dyDescent="0.25">
      <c r="A491" s="6" t="str">
        <f t="shared" si="84"/>
        <v>GW29</v>
      </c>
      <c r="B491" s="7">
        <v>11</v>
      </c>
      <c r="C491" s="7" t="str">
        <f t="shared" si="83"/>
        <v>GW29-11</v>
      </c>
      <c r="D491" s="1" t="str">
        <f>IFERROR(VLOOKUP(E491,[1]FINAL!$A$2:$J$699,MATCH("Pos",[1]FINAL!$A$1:$J$1,0),0),"")</f>
        <v/>
      </c>
      <c r="E491" s="4" t="str">
        <f>IFERROR(VLOOKUP($A491&amp;$E474,DATA!$F$1:$G$500,MATCH("FULL IN",DATA!$F$1:$G$1,0),0),$E474)</f>
        <v/>
      </c>
      <c r="F491" s="2" t="str">
        <f t="shared" si="85"/>
        <v/>
      </c>
      <c r="G491" s="2" t="str">
        <f>IFERROR(VLOOKUP(E491,[1]FINAL!$A$2:$M$699,MATCH("Team",[1]FINAL!$A$1:$K$1,0),0),"")</f>
        <v/>
      </c>
      <c r="I491" s="4" t="str">
        <f>IFERROR(VLOOKUP($A491&amp;$E474,DATA!$F$1:$H$500,MATCH("FULL OUT",DATA!$F$1:$H$1,0),0),"")</f>
        <v/>
      </c>
    </row>
    <row r="492" spans="1:9" x14ac:dyDescent="0.25">
      <c r="A492" s="6" t="str">
        <f t="shared" si="84"/>
        <v>GW29</v>
      </c>
      <c r="B492" s="7">
        <v>12</v>
      </c>
      <c r="C492" s="7" t="str">
        <f t="shared" si="83"/>
        <v>GW29-12</v>
      </c>
      <c r="D492" s="1" t="str">
        <f>IFERROR(VLOOKUP(E492,[1]FINAL!$A$2:$J$699,MATCH("Pos",[1]FINAL!$A$1:$J$1,0),0),"")</f>
        <v/>
      </c>
      <c r="E492" s="4" t="str">
        <f>IFERROR(VLOOKUP($A492&amp;$E475,DATA!$F$1:$G$500,MATCH("FULL IN",DATA!$F$1:$G$1,0),0),$E475)</f>
        <v/>
      </c>
      <c r="F492" s="2" t="str">
        <f t="shared" si="85"/>
        <v/>
      </c>
      <c r="G492" s="2" t="str">
        <f>IFERROR(VLOOKUP(E492,[1]FINAL!$A$2:$M$699,MATCH("Team",[1]FINAL!$A$1:$K$1,0),0),"")</f>
        <v/>
      </c>
      <c r="I492" s="4" t="str">
        <f>IFERROR(VLOOKUP($A492&amp;$E475,DATA!$F$1:$H$500,MATCH("FULL OUT",DATA!$F$1:$H$1,0),0),"")</f>
        <v/>
      </c>
    </row>
    <row r="493" spans="1:9" x14ac:dyDescent="0.25">
      <c r="A493" s="6" t="str">
        <f t="shared" si="84"/>
        <v>GW29</v>
      </c>
      <c r="B493" s="7">
        <v>13</v>
      </c>
      <c r="C493" s="7" t="str">
        <f t="shared" si="83"/>
        <v>GW29-13</v>
      </c>
      <c r="D493" s="1" t="str">
        <f>IFERROR(VLOOKUP(E493,[1]FINAL!$A$2:$J$699,MATCH("Pos",[1]FINAL!$A$1:$J$1,0),0),"")</f>
        <v/>
      </c>
      <c r="E493" s="4" t="str">
        <f>IFERROR(VLOOKUP($A493&amp;$E476,DATA!$F$1:$G$500,MATCH("FULL IN",DATA!$F$1:$G$1,0),0),$E476)</f>
        <v/>
      </c>
      <c r="F493" s="2" t="str">
        <f t="shared" si="85"/>
        <v/>
      </c>
      <c r="G493" s="2" t="str">
        <f>IFERROR(VLOOKUP(E493,[1]FINAL!$A$2:$M$699,MATCH("Team",[1]FINAL!$A$1:$K$1,0),0),"")</f>
        <v/>
      </c>
      <c r="I493" s="4" t="str">
        <f>IFERROR(VLOOKUP($A493&amp;$E476,DATA!$F$1:$H$500,MATCH("FULL OUT",DATA!$F$1:$H$1,0),0),"")</f>
        <v/>
      </c>
    </row>
    <row r="494" spans="1:9" x14ac:dyDescent="0.25">
      <c r="A494" s="6" t="str">
        <f t="shared" si="84"/>
        <v>GW29</v>
      </c>
      <c r="B494" s="7">
        <v>14</v>
      </c>
      <c r="C494" s="7" t="str">
        <f t="shared" si="83"/>
        <v>GW29-14</v>
      </c>
      <c r="D494" s="1" t="str">
        <f>IFERROR(VLOOKUP(E494,[1]FINAL!$A$2:$J$699,MATCH("Pos",[1]FINAL!$A$1:$J$1,0),0),"")</f>
        <v/>
      </c>
      <c r="E494" s="4" t="str">
        <f>IFERROR(VLOOKUP($A494&amp;$E477,DATA!$F$1:$G$500,MATCH("FULL IN",DATA!$F$1:$G$1,0),0),$E477)</f>
        <v/>
      </c>
      <c r="F494" s="2" t="str">
        <f t="shared" si="85"/>
        <v/>
      </c>
      <c r="G494" s="2" t="str">
        <f>IFERROR(VLOOKUP(E494,[1]FINAL!$A$2:$M$699,MATCH("Team",[1]FINAL!$A$1:$K$1,0),0),"")</f>
        <v/>
      </c>
      <c r="I494" s="4" t="str">
        <f>IFERROR(VLOOKUP($A494&amp;$E477,DATA!$F$1:$H$500,MATCH("FULL OUT",DATA!$F$1:$H$1,0),0),"")</f>
        <v/>
      </c>
    </row>
    <row r="495" spans="1:9" x14ac:dyDescent="0.25">
      <c r="A495" s="6" t="str">
        <f t="shared" si="84"/>
        <v>GW29</v>
      </c>
      <c r="B495" s="7">
        <v>15</v>
      </c>
      <c r="C495" s="7" t="str">
        <f t="shared" si="83"/>
        <v>GW29-15</v>
      </c>
      <c r="D495" s="1" t="str">
        <f>IFERROR(VLOOKUP(E495,[1]FINAL!$A$2:$J$699,MATCH("Pos",[1]FINAL!$A$1:$J$1,0),0),"")</f>
        <v/>
      </c>
      <c r="E495" s="4" t="str">
        <f>IFERROR(VLOOKUP($A495&amp;$E478,DATA!$F$1:$G$500,MATCH("FULL IN",DATA!$F$1:$G$1,0),0),$E478)</f>
        <v/>
      </c>
      <c r="F495" s="2" t="str">
        <f t="shared" si="85"/>
        <v/>
      </c>
      <c r="G495" s="2" t="str">
        <f>IFERROR(VLOOKUP(E495,[1]FINAL!$A$2:$M$699,MATCH("Team",[1]FINAL!$A$1:$K$1,0),0),"")</f>
        <v/>
      </c>
      <c r="I495" s="4" t="str">
        <f>IFERROR(VLOOKUP($A495&amp;$E478,DATA!$F$1:$H$500,MATCH("FULL OUT",DATA!$F$1:$H$1,0),0),"")</f>
        <v/>
      </c>
    </row>
    <row r="498" spans="1:9" x14ac:dyDescent="0.25">
      <c r="A498" s="6" t="s">
        <v>32</v>
      </c>
      <c r="B498" s="7">
        <v>1</v>
      </c>
      <c r="C498" s="7" t="str">
        <f>A498&amp;-B498</f>
        <v>GW30-1</v>
      </c>
      <c r="D498" s="1" t="str">
        <f>IFERROR(VLOOKUP(E498,[1]FINAL!$A$2:$J$699,MATCH("Pos",[1]FINAL!$A$1:$J$1,0),0),"")</f>
        <v/>
      </c>
      <c r="E498" s="4" t="str">
        <f>IFERROR(VLOOKUP($A498&amp;$E481,DATA!$F$1:$G$500,MATCH("FULL IN",DATA!$F$1:$G$1,0),0),$E481)</f>
        <v>Player Name</v>
      </c>
      <c r="G498" s="2" t="str">
        <f>IFERROR(VLOOKUP(E498,[1]FINAL!$A$2:$M$699,MATCH("Team",[1]FINAL!$A$1:$K$1,0),0),"")</f>
        <v/>
      </c>
      <c r="I498" s="4" t="str">
        <f>IFERROR(VLOOKUP($A498&amp;$E481,DATA!$F$1:$H$500,MATCH("FULL OUT",DATA!$F$1:$H$1,0),0),"")</f>
        <v/>
      </c>
    </row>
    <row r="499" spans="1:9" x14ac:dyDescent="0.25">
      <c r="A499" s="6" t="str">
        <f>A498</f>
        <v>GW30</v>
      </c>
      <c r="B499" s="7">
        <v>2</v>
      </c>
      <c r="C499" s="7" t="str">
        <f t="shared" ref="C499:C512" si="86">A499&amp;-B499</f>
        <v>GW30-2</v>
      </c>
      <c r="D499" s="1" t="str">
        <f>IFERROR(VLOOKUP(E499,[1]FINAL!$A$2:$J$699,MATCH("Pos",[1]FINAL!$A$1:$J$1,0),0),"")</f>
        <v/>
      </c>
      <c r="E499" s="4" t="str">
        <f>IFERROR(VLOOKUP($A499&amp;$E482,DATA!$F$1:$G$500,MATCH("FULL IN",DATA!$F$1:$G$1,0),0),$E482)</f>
        <v/>
      </c>
      <c r="F499" s="2" t="str">
        <f>IF(Z499="","","IN")</f>
        <v/>
      </c>
      <c r="G499" s="2" t="str">
        <f>IFERROR(VLOOKUP(E499,[1]FINAL!$A$2:$M$699,MATCH("Team",[1]FINAL!$A$1:$K$1,0),0),"")</f>
        <v/>
      </c>
      <c r="I499" s="4" t="str">
        <f>IFERROR(VLOOKUP($A499&amp;$E482,DATA!$F$1:$H$500,MATCH("FULL OUT",DATA!$F$1:$H$1,0),0),"")</f>
        <v/>
      </c>
    </row>
    <row r="500" spans="1:9" x14ac:dyDescent="0.25">
      <c r="A500" s="6" t="str">
        <f t="shared" ref="A500:A512" si="87">A499</f>
        <v>GW30</v>
      </c>
      <c r="B500" s="7">
        <v>3</v>
      </c>
      <c r="C500" s="7" t="str">
        <f t="shared" si="86"/>
        <v>GW30-3</v>
      </c>
      <c r="D500" s="1" t="str">
        <f>IFERROR(VLOOKUP(E500,[1]FINAL!$A$2:$J$699,MATCH("Pos",[1]FINAL!$A$1:$J$1,0),0),"")</f>
        <v/>
      </c>
      <c r="E500" s="4" t="str">
        <f>IFERROR(VLOOKUP($A500&amp;$E483,DATA!$F$1:$G$500,MATCH("FULL IN",DATA!$F$1:$G$1,0),0),$E483)</f>
        <v/>
      </c>
      <c r="F500" s="2" t="str">
        <f t="shared" ref="F500:F512" si="88">IF(Z500="","","IN")</f>
        <v/>
      </c>
      <c r="G500" s="2" t="str">
        <f>IFERROR(VLOOKUP(E500,[1]FINAL!$A$2:$M$699,MATCH("Team",[1]FINAL!$A$1:$K$1,0),0),"")</f>
        <v/>
      </c>
      <c r="I500" s="4" t="str">
        <f>IFERROR(VLOOKUP($A500&amp;$E483,DATA!$F$1:$H$500,MATCH("FULL OUT",DATA!$F$1:$H$1,0),0),"")</f>
        <v/>
      </c>
    </row>
    <row r="501" spans="1:9" x14ac:dyDescent="0.25">
      <c r="A501" s="6" t="str">
        <f t="shared" si="87"/>
        <v>GW30</v>
      </c>
      <c r="B501" s="7">
        <v>4</v>
      </c>
      <c r="C501" s="7" t="str">
        <f t="shared" si="86"/>
        <v>GW30-4</v>
      </c>
      <c r="D501" s="1" t="str">
        <f>IFERROR(VLOOKUP(E501,[1]FINAL!$A$2:$J$699,MATCH("Pos",[1]FINAL!$A$1:$J$1,0),0),"")</f>
        <v/>
      </c>
      <c r="E501" s="4" t="str">
        <f>IFERROR(VLOOKUP($A501&amp;$E484,DATA!$F$1:$G$500,MATCH("FULL IN",DATA!$F$1:$G$1,0),0),$E484)</f>
        <v/>
      </c>
      <c r="F501" s="2" t="str">
        <f t="shared" si="88"/>
        <v/>
      </c>
      <c r="G501" s="2" t="str">
        <f>IFERROR(VLOOKUP(E501,[1]FINAL!$A$2:$M$699,MATCH("Team",[1]FINAL!$A$1:$K$1,0),0),"")</f>
        <v/>
      </c>
      <c r="I501" s="4" t="str">
        <f>IFERROR(VLOOKUP($A501&amp;$E484,DATA!$F$1:$H$500,MATCH("FULL OUT",DATA!$F$1:$H$1,0),0),"")</f>
        <v/>
      </c>
    </row>
    <row r="502" spans="1:9" x14ac:dyDescent="0.25">
      <c r="A502" s="6" t="str">
        <f t="shared" si="87"/>
        <v>GW30</v>
      </c>
      <c r="B502" s="7">
        <v>5</v>
      </c>
      <c r="C502" s="7" t="str">
        <f t="shared" si="86"/>
        <v>GW30-5</v>
      </c>
      <c r="D502" s="1" t="str">
        <f>IFERROR(VLOOKUP(E502,[1]FINAL!$A$2:$J$699,MATCH("Pos",[1]FINAL!$A$1:$J$1,0),0),"")</f>
        <v/>
      </c>
      <c r="E502" s="4" t="str">
        <f>IFERROR(VLOOKUP($A502&amp;$E485,DATA!$F$1:$G$500,MATCH("FULL IN",DATA!$F$1:$G$1,0),0),$E485)</f>
        <v/>
      </c>
      <c r="F502" s="2" t="str">
        <f t="shared" si="88"/>
        <v/>
      </c>
      <c r="G502" s="2" t="str">
        <f>IFERROR(VLOOKUP(E502,[1]FINAL!$A$2:$M$699,MATCH("Team",[1]FINAL!$A$1:$K$1,0),0),"")</f>
        <v/>
      </c>
      <c r="I502" s="4" t="str">
        <f>IFERROR(VLOOKUP($A502&amp;$E485,DATA!$F$1:$H$500,MATCH("FULL OUT",DATA!$F$1:$H$1,0),0),"")</f>
        <v/>
      </c>
    </row>
    <row r="503" spans="1:9" x14ac:dyDescent="0.25">
      <c r="A503" s="6" t="str">
        <f t="shared" si="87"/>
        <v>GW30</v>
      </c>
      <c r="B503" s="7">
        <v>6</v>
      </c>
      <c r="C503" s="7" t="str">
        <f t="shared" si="86"/>
        <v>GW30-6</v>
      </c>
      <c r="D503" s="1" t="str">
        <f>IFERROR(VLOOKUP(E503,[1]FINAL!$A$2:$J$699,MATCH("Pos",[1]FINAL!$A$1:$J$1,0),0),"")</f>
        <v/>
      </c>
      <c r="E503" s="4" t="str">
        <f>IFERROR(VLOOKUP($A503&amp;$E486,DATA!$F$1:$G$500,MATCH("FULL IN",DATA!$F$1:$G$1,0),0),$E486)</f>
        <v/>
      </c>
      <c r="F503" s="2" t="str">
        <f t="shared" si="88"/>
        <v/>
      </c>
      <c r="G503" s="2" t="str">
        <f>IFERROR(VLOOKUP(E503,[1]FINAL!$A$2:$M$699,MATCH("Team",[1]FINAL!$A$1:$K$1,0),0),"")</f>
        <v/>
      </c>
      <c r="I503" s="4" t="str">
        <f>IFERROR(VLOOKUP($A503&amp;$E486,DATA!$F$1:$H$500,MATCH("FULL OUT",DATA!$F$1:$H$1,0),0),"")</f>
        <v/>
      </c>
    </row>
    <row r="504" spans="1:9" x14ac:dyDescent="0.25">
      <c r="A504" s="6" t="str">
        <f t="shared" si="87"/>
        <v>GW30</v>
      </c>
      <c r="B504" s="7">
        <v>7</v>
      </c>
      <c r="C504" s="7" t="str">
        <f t="shared" si="86"/>
        <v>GW30-7</v>
      </c>
      <c r="D504" s="1" t="str">
        <f>IFERROR(VLOOKUP(E504,[1]FINAL!$A$2:$J$699,MATCH("Pos",[1]FINAL!$A$1:$J$1,0),0),"")</f>
        <v/>
      </c>
      <c r="E504" s="4" t="str">
        <f>IFERROR(VLOOKUP($A504&amp;$E487,DATA!$F$1:$G$500,MATCH("FULL IN",DATA!$F$1:$G$1,0),0),$E487)</f>
        <v/>
      </c>
      <c r="F504" s="2" t="str">
        <f t="shared" si="88"/>
        <v/>
      </c>
      <c r="G504" s="2" t="str">
        <f>IFERROR(VLOOKUP(E504,[1]FINAL!$A$2:$M$699,MATCH("Team",[1]FINAL!$A$1:$K$1,0),0),"")</f>
        <v/>
      </c>
      <c r="I504" s="4" t="str">
        <f>IFERROR(VLOOKUP($A504&amp;$E487,DATA!$F$1:$H$500,MATCH("FULL OUT",DATA!$F$1:$H$1,0),0),"")</f>
        <v/>
      </c>
    </row>
    <row r="505" spans="1:9" x14ac:dyDescent="0.25">
      <c r="A505" s="6" t="str">
        <f t="shared" si="87"/>
        <v>GW30</v>
      </c>
      <c r="B505" s="7">
        <v>8</v>
      </c>
      <c r="C505" s="7" t="str">
        <f t="shared" si="86"/>
        <v>GW30-8</v>
      </c>
      <c r="D505" s="1" t="str">
        <f>IFERROR(VLOOKUP(E505,[1]FINAL!$A$2:$J$699,MATCH("Pos",[1]FINAL!$A$1:$J$1,0),0),"")</f>
        <v/>
      </c>
      <c r="E505" s="4" t="str">
        <f>IFERROR(VLOOKUP($A505&amp;$E488,DATA!$F$1:$G$500,MATCH("FULL IN",DATA!$F$1:$G$1,0),0),$E488)</f>
        <v/>
      </c>
      <c r="F505" s="2" t="str">
        <f t="shared" si="88"/>
        <v/>
      </c>
      <c r="G505" s="2" t="str">
        <f>IFERROR(VLOOKUP(E505,[1]FINAL!$A$2:$M$699,MATCH("Team",[1]FINAL!$A$1:$K$1,0),0),"")</f>
        <v/>
      </c>
      <c r="I505" s="4" t="str">
        <f>IFERROR(VLOOKUP($A505&amp;$E488,DATA!$F$1:$H$500,MATCH("FULL OUT",DATA!$F$1:$H$1,0),0),"")</f>
        <v/>
      </c>
    </row>
    <row r="506" spans="1:9" x14ac:dyDescent="0.25">
      <c r="A506" s="6" t="str">
        <f t="shared" si="87"/>
        <v>GW30</v>
      </c>
      <c r="B506" s="7">
        <v>9</v>
      </c>
      <c r="C506" s="7" t="str">
        <f t="shared" si="86"/>
        <v>GW30-9</v>
      </c>
      <c r="D506" s="1" t="str">
        <f>IFERROR(VLOOKUP(E506,[1]FINAL!$A$2:$J$699,MATCH("Pos",[1]FINAL!$A$1:$J$1,0),0),"")</f>
        <v/>
      </c>
      <c r="E506" s="4" t="str">
        <f>IFERROR(VLOOKUP($A506&amp;$E489,DATA!$F$1:$G$500,MATCH("FULL IN",DATA!$F$1:$G$1,0),0),$E489)</f>
        <v/>
      </c>
      <c r="F506" s="2" t="str">
        <f t="shared" si="88"/>
        <v/>
      </c>
      <c r="G506" s="2" t="str">
        <f>IFERROR(VLOOKUP(E506,[1]FINAL!$A$2:$M$699,MATCH("Team",[1]FINAL!$A$1:$K$1,0),0),"")</f>
        <v/>
      </c>
      <c r="I506" s="4" t="str">
        <f>IFERROR(VLOOKUP($A506&amp;$E489,DATA!$F$1:$H$500,MATCH("FULL OUT",DATA!$F$1:$H$1,0),0),"")</f>
        <v/>
      </c>
    </row>
    <row r="507" spans="1:9" x14ac:dyDescent="0.25">
      <c r="A507" s="6" t="str">
        <f t="shared" si="87"/>
        <v>GW30</v>
      </c>
      <c r="B507" s="7">
        <v>10</v>
      </c>
      <c r="C507" s="7" t="str">
        <f t="shared" si="86"/>
        <v>GW30-10</v>
      </c>
      <c r="D507" s="1" t="str">
        <f>IFERROR(VLOOKUP(E507,[1]FINAL!$A$2:$J$699,MATCH("Pos",[1]FINAL!$A$1:$J$1,0),0),"")</f>
        <v/>
      </c>
      <c r="E507" s="4" t="str">
        <f>IFERROR(VLOOKUP($A507&amp;$E490,DATA!$F$1:$G$500,MATCH("FULL IN",DATA!$F$1:$G$1,0),0),$E490)</f>
        <v/>
      </c>
      <c r="F507" s="2" t="str">
        <f t="shared" si="88"/>
        <v/>
      </c>
      <c r="G507" s="2" t="str">
        <f>IFERROR(VLOOKUP(E507,[1]FINAL!$A$2:$M$699,MATCH("Team",[1]FINAL!$A$1:$K$1,0),0),"")</f>
        <v/>
      </c>
      <c r="I507" s="4" t="str">
        <f>IFERROR(VLOOKUP($A507&amp;$E490,DATA!$F$1:$H$500,MATCH("FULL OUT",DATA!$F$1:$H$1,0),0),"")</f>
        <v/>
      </c>
    </row>
    <row r="508" spans="1:9" x14ac:dyDescent="0.25">
      <c r="A508" s="6" t="str">
        <f t="shared" si="87"/>
        <v>GW30</v>
      </c>
      <c r="B508" s="7">
        <v>11</v>
      </c>
      <c r="C508" s="7" t="str">
        <f t="shared" si="86"/>
        <v>GW30-11</v>
      </c>
      <c r="D508" s="1" t="str">
        <f>IFERROR(VLOOKUP(E508,[1]FINAL!$A$2:$J$699,MATCH("Pos",[1]FINAL!$A$1:$J$1,0),0),"")</f>
        <v/>
      </c>
      <c r="E508" s="4" t="str">
        <f>IFERROR(VLOOKUP($A508&amp;$E491,DATA!$F$1:$G$500,MATCH("FULL IN",DATA!$F$1:$G$1,0),0),$E491)</f>
        <v/>
      </c>
      <c r="F508" s="2" t="str">
        <f t="shared" si="88"/>
        <v/>
      </c>
      <c r="G508" s="2" t="str">
        <f>IFERROR(VLOOKUP(E508,[1]FINAL!$A$2:$M$699,MATCH("Team",[1]FINAL!$A$1:$K$1,0),0),"")</f>
        <v/>
      </c>
      <c r="I508" s="4" t="str">
        <f>IFERROR(VLOOKUP($A508&amp;$E491,DATA!$F$1:$H$500,MATCH("FULL OUT",DATA!$F$1:$H$1,0),0),"")</f>
        <v/>
      </c>
    </row>
    <row r="509" spans="1:9" x14ac:dyDescent="0.25">
      <c r="A509" s="6" t="str">
        <f t="shared" si="87"/>
        <v>GW30</v>
      </c>
      <c r="B509" s="7">
        <v>12</v>
      </c>
      <c r="C509" s="7" t="str">
        <f t="shared" si="86"/>
        <v>GW30-12</v>
      </c>
      <c r="D509" s="1" t="str">
        <f>IFERROR(VLOOKUP(E509,[1]FINAL!$A$2:$J$699,MATCH("Pos",[1]FINAL!$A$1:$J$1,0),0),"")</f>
        <v/>
      </c>
      <c r="E509" s="4" t="str">
        <f>IFERROR(VLOOKUP($A509&amp;$E492,DATA!$F$1:$G$500,MATCH("FULL IN",DATA!$F$1:$G$1,0),0),$E492)</f>
        <v/>
      </c>
      <c r="F509" s="2" t="str">
        <f t="shared" si="88"/>
        <v/>
      </c>
      <c r="G509" s="2" t="str">
        <f>IFERROR(VLOOKUP(E509,[1]FINAL!$A$2:$M$699,MATCH("Team",[1]FINAL!$A$1:$K$1,0),0),"")</f>
        <v/>
      </c>
      <c r="I509" s="4" t="str">
        <f>IFERROR(VLOOKUP($A509&amp;$E492,DATA!$F$1:$H$500,MATCH("FULL OUT",DATA!$F$1:$H$1,0),0),"")</f>
        <v/>
      </c>
    </row>
    <row r="510" spans="1:9" x14ac:dyDescent="0.25">
      <c r="A510" s="6" t="str">
        <f t="shared" si="87"/>
        <v>GW30</v>
      </c>
      <c r="B510" s="7">
        <v>13</v>
      </c>
      <c r="C510" s="7" t="str">
        <f t="shared" si="86"/>
        <v>GW30-13</v>
      </c>
      <c r="D510" s="1" t="str">
        <f>IFERROR(VLOOKUP(E510,[1]FINAL!$A$2:$J$699,MATCH("Pos",[1]FINAL!$A$1:$J$1,0),0),"")</f>
        <v/>
      </c>
      <c r="E510" s="4" t="str">
        <f>IFERROR(VLOOKUP($A510&amp;$E493,DATA!$F$1:$G$500,MATCH("FULL IN",DATA!$F$1:$G$1,0),0),$E493)</f>
        <v/>
      </c>
      <c r="F510" s="2" t="str">
        <f t="shared" si="88"/>
        <v/>
      </c>
      <c r="G510" s="2" t="str">
        <f>IFERROR(VLOOKUP(E510,[1]FINAL!$A$2:$M$699,MATCH("Team",[1]FINAL!$A$1:$K$1,0),0),"")</f>
        <v/>
      </c>
      <c r="I510" s="4" t="str">
        <f>IFERROR(VLOOKUP($A510&amp;$E493,DATA!$F$1:$H$500,MATCH("FULL OUT",DATA!$F$1:$H$1,0),0),"")</f>
        <v/>
      </c>
    </row>
    <row r="511" spans="1:9" x14ac:dyDescent="0.25">
      <c r="A511" s="6" t="str">
        <f t="shared" si="87"/>
        <v>GW30</v>
      </c>
      <c r="B511" s="7">
        <v>14</v>
      </c>
      <c r="C511" s="7" t="str">
        <f t="shared" si="86"/>
        <v>GW30-14</v>
      </c>
      <c r="D511" s="1" t="str">
        <f>IFERROR(VLOOKUP(E511,[1]FINAL!$A$2:$J$699,MATCH("Pos",[1]FINAL!$A$1:$J$1,0),0),"")</f>
        <v/>
      </c>
      <c r="E511" s="4" t="str">
        <f>IFERROR(VLOOKUP($A511&amp;$E494,DATA!$F$1:$G$500,MATCH("FULL IN",DATA!$F$1:$G$1,0),0),$E494)</f>
        <v/>
      </c>
      <c r="F511" s="2" t="str">
        <f t="shared" si="88"/>
        <v/>
      </c>
      <c r="G511" s="2" t="str">
        <f>IFERROR(VLOOKUP(E511,[1]FINAL!$A$2:$M$699,MATCH("Team",[1]FINAL!$A$1:$K$1,0),0),"")</f>
        <v/>
      </c>
      <c r="I511" s="4" t="str">
        <f>IFERROR(VLOOKUP($A511&amp;$E494,DATA!$F$1:$H$500,MATCH("FULL OUT",DATA!$F$1:$H$1,0),0),"")</f>
        <v/>
      </c>
    </row>
    <row r="512" spans="1:9" x14ac:dyDescent="0.25">
      <c r="A512" s="6" t="str">
        <f t="shared" si="87"/>
        <v>GW30</v>
      </c>
      <c r="B512" s="7">
        <v>15</v>
      </c>
      <c r="C512" s="7" t="str">
        <f t="shared" si="86"/>
        <v>GW30-15</v>
      </c>
      <c r="D512" s="1" t="str">
        <f>IFERROR(VLOOKUP(E512,[1]FINAL!$A$2:$J$699,MATCH("Pos",[1]FINAL!$A$1:$J$1,0),0),"")</f>
        <v/>
      </c>
      <c r="E512" s="4" t="str">
        <f>IFERROR(VLOOKUP($A512&amp;$E495,DATA!$F$1:$G$500,MATCH("FULL IN",DATA!$F$1:$G$1,0),0),$E495)</f>
        <v/>
      </c>
      <c r="F512" s="2" t="str">
        <f t="shared" si="88"/>
        <v/>
      </c>
      <c r="G512" s="2" t="str">
        <f>IFERROR(VLOOKUP(E512,[1]FINAL!$A$2:$M$699,MATCH("Team",[1]FINAL!$A$1:$K$1,0),0),"")</f>
        <v/>
      </c>
      <c r="I512" s="4" t="str">
        <f>IFERROR(VLOOKUP($A512&amp;$E495,DATA!$F$1:$H$500,MATCH("FULL OUT",DATA!$F$1:$H$1,0),0),"")</f>
        <v/>
      </c>
    </row>
    <row r="515" spans="1:9" x14ac:dyDescent="0.25">
      <c r="A515" s="6" t="s">
        <v>33</v>
      </c>
      <c r="B515" s="7">
        <v>1</v>
      </c>
      <c r="C515" s="7" t="str">
        <f>A515&amp;-B515</f>
        <v>GW31-1</v>
      </c>
      <c r="D515" s="1" t="str">
        <f>IFERROR(VLOOKUP(E515,[1]FINAL!$A$2:$J$699,MATCH("Pos",[1]FINAL!$A$1:$J$1,0),0),"")</f>
        <v/>
      </c>
      <c r="E515" s="4" t="str">
        <f>IFERROR(VLOOKUP($A515&amp;$E498,DATA!$F$1:$G$500,MATCH("FULL IN",DATA!$F$1:$G$1,0),0),$E498)</f>
        <v>Player Name</v>
      </c>
      <c r="G515" s="2" t="str">
        <f>IFERROR(VLOOKUP(E515,[1]FINAL!$A$2:$M$699,MATCH("Team",[1]FINAL!$A$1:$K$1,0),0),"")</f>
        <v/>
      </c>
      <c r="I515" s="4" t="str">
        <f>IFERROR(VLOOKUP($A515&amp;$E498,DATA!$F$1:$H$500,MATCH("FULL OUT",DATA!$F$1:$H$1,0),0),"")</f>
        <v/>
      </c>
    </row>
    <row r="516" spans="1:9" x14ac:dyDescent="0.25">
      <c r="A516" s="6" t="str">
        <f>A515</f>
        <v>GW31</v>
      </c>
      <c r="B516" s="7">
        <v>2</v>
      </c>
      <c r="C516" s="7" t="str">
        <f t="shared" ref="C516:C529" si="89">A516&amp;-B516</f>
        <v>GW31-2</v>
      </c>
      <c r="D516" s="1" t="str">
        <f>IFERROR(VLOOKUP(E516,[1]FINAL!$A$2:$J$699,MATCH("Pos",[1]FINAL!$A$1:$J$1,0),0),"")</f>
        <v/>
      </c>
      <c r="E516" s="4" t="str">
        <f>IFERROR(VLOOKUP($A516&amp;$E499,DATA!$F$1:$G$500,MATCH("FULL IN",DATA!$F$1:$G$1,0),0),$E499)</f>
        <v/>
      </c>
      <c r="F516" s="2" t="str">
        <f>IF(Z516="","","IN")</f>
        <v/>
      </c>
      <c r="G516" s="2" t="str">
        <f>IFERROR(VLOOKUP(E516,[1]FINAL!$A$2:$M$699,MATCH("Team",[1]FINAL!$A$1:$K$1,0),0),"")</f>
        <v/>
      </c>
      <c r="I516" s="4" t="str">
        <f>IFERROR(VLOOKUP($A516&amp;$E499,DATA!$F$1:$H$500,MATCH("FULL OUT",DATA!$F$1:$H$1,0),0),"")</f>
        <v/>
      </c>
    </row>
    <row r="517" spans="1:9" x14ac:dyDescent="0.25">
      <c r="A517" s="6" t="str">
        <f t="shared" ref="A517:A529" si="90">A516</f>
        <v>GW31</v>
      </c>
      <c r="B517" s="7">
        <v>3</v>
      </c>
      <c r="C517" s="7" t="str">
        <f t="shared" si="89"/>
        <v>GW31-3</v>
      </c>
      <c r="D517" s="1" t="str">
        <f>IFERROR(VLOOKUP(E517,[1]FINAL!$A$2:$J$699,MATCH("Pos",[1]FINAL!$A$1:$J$1,0),0),"")</f>
        <v/>
      </c>
      <c r="E517" s="4" t="str">
        <f>IFERROR(VLOOKUP($A517&amp;$E500,DATA!$F$1:$G$500,MATCH("FULL IN",DATA!$F$1:$G$1,0),0),$E500)</f>
        <v/>
      </c>
      <c r="F517" s="2" t="str">
        <f t="shared" ref="F517:F529" si="91">IF(Z517="","","IN")</f>
        <v/>
      </c>
      <c r="G517" s="2" t="str">
        <f>IFERROR(VLOOKUP(E517,[1]FINAL!$A$2:$M$699,MATCH("Team",[1]FINAL!$A$1:$K$1,0),0),"")</f>
        <v/>
      </c>
      <c r="I517" s="4" t="str">
        <f>IFERROR(VLOOKUP($A517&amp;$E500,DATA!$F$1:$H$500,MATCH("FULL OUT",DATA!$F$1:$H$1,0),0),"")</f>
        <v/>
      </c>
    </row>
    <row r="518" spans="1:9" x14ac:dyDescent="0.25">
      <c r="A518" s="6" t="str">
        <f t="shared" si="90"/>
        <v>GW31</v>
      </c>
      <c r="B518" s="7">
        <v>4</v>
      </c>
      <c r="C518" s="7" t="str">
        <f t="shared" si="89"/>
        <v>GW31-4</v>
      </c>
      <c r="D518" s="1" t="str">
        <f>IFERROR(VLOOKUP(E518,[1]FINAL!$A$2:$J$699,MATCH("Pos",[1]FINAL!$A$1:$J$1,0),0),"")</f>
        <v/>
      </c>
      <c r="E518" s="4" t="str">
        <f>IFERROR(VLOOKUP($A518&amp;$E501,DATA!$F$1:$G$500,MATCH("FULL IN",DATA!$F$1:$G$1,0),0),$E501)</f>
        <v/>
      </c>
      <c r="F518" s="2" t="str">
        <f t="shared" si="91"/>
        <v/>
      </c>
      <c r="G518" s="2" t="str">
        <f>IFERROR(VLOOKUP(E518,[1]FINAL!$A$2:$M$699,MATCH("Team",[1]FINAL!$A$1:$K$1,0),0),"")</f>
        <v/>
      </c>
      <c r="I518" s="4" t="str">
        <f>IFERROR(VLOOKUP($A518&amp;$E501,DATA!$F$1:$H$500,MATCH("FULL OUT",DATA!$F$1:$H$1,0),0),"")</f>
        <v/>
      </c>
    </row>
    <row r="519" spans="1:9" x14ac:dyDescent="0.25">
      <c r="A519" s="6" t="str">
        <f t="shared" si="90"/>
        <v>GW31</v>
      </c>
      <c r="B519" s="7">
        <v>5</v>
      </c>
      <c r="C519" s="7" t="str">
        <f t="shared" si="89"/>
        <v>GW31-5</v>
      </c>
      <c r="D519" s="1" t="str">
        <f>IFERROR(VLOOKUP(E519,[1]FINAL!$A$2:$J$699,MATCH("Pos",[1]FINAL!$A$1:$J$1,0),0),"")</f>
        <v/>
      </c>
      <c r="E519" s="4" t="str">
        <f>IFERROR(VLOOKUP($A519&amp;$E502,DATA!$F$1:$G$500,MATCH("FULL IN",DATA!$F$1:$G$1,0),0),$E502)</f>
        <v/>
      </c>
      <c r="F519" s="2" t="str">
        <f t="shared" si="91"/>
        <v/>
      </c>
      <c r="G519" s="2" t="str">
        <f>IFERROR(VLOOKUP(E519,[1]FINAL!$A$2:$M$699,MATCH("Team",[1]FINAL!$A$1:$K$1,0),0),"")</f>
        <v/>
      </c>
      <c r="I519" s="4" t="str">
        <f>IFERROR(VLOOKUP($A519&amp;$E502,DATA!$F$1:$H$500,MATCH("FULL OUT",DATA!$F$1:$H$1,0),0),"")</f>
        <v/>
      </c>
    </row>
    <row r="520" spans="1:9" x14ac:dyDescent="0.25">
      <c r="A520" s="6" t="str">
        <f t="shared" si="90"/>
        <v>GW31</v>
      </c>
      <c r="B520" s="7">
        <v>6</v>
      </c>
      <c r="C520" s="7" t="str">
        <f t="shared" si="89"/>
        <v>GW31-6</v>
      </c>
      <c r="D520" s="1" t="str">
        <f>IFERROR(VLOOKUP(E520,[1]FINAL!$A$2:$J$699,MATCH("Pos",[1]FINAL!$A$1:$J$1,0),0),"")</f>
        <v/>
      </c>
      <c r="E520" s="4" t="str">
        <f>IFERROR(VLOOKUP($A520&amp;$E503,DATA!$F$1:$G$500,MATCH("FULL IN",DATA!$F$1:$G$1,0),0),$E503)</f>
        <v/>
      </c>
      <c r="F520" s="2" t="str">
        <f t="shared" si="91"/>
        <v/>
      </c>
      <c r="G520" s="2" t="str">
        <f>IFERROR(VLOOKUP(E520,[1]FINAL!$A$2:$M$699,MATCH("Team",[1]FINAL!$A$1:$K$1,0),0),"")</f>
        <v/>
      </c>
      <c r="I520" s="4" t="str">
        <f>IFERROR(VLOOKUP($A520&amp;$E503,DATA!$F$1:$H$500,MATCH("FULL OUT",DATA!$F$1:$H$1,0),0),"")</f>
        <v/>
      </c>
    </row>
    <row r="521" spans="1:9" x14ac:dyDescent="0.25">
      <c r="A521" s="6" t="str">
        <f t="shared" si="90"/>
        <v>GW31</v>
      </c>
      <c r="B521" s="7">
        <v>7</v>
      </c>
      <c r="C521" s="7" t="str">
        <f t="shared" si="89"/>
        <v>GW31-7</v>
      </c>
      <c r="D521" s="1" t="str">
        <f>IFERROR(VLOOKUP(E521,[1]FINAL!$A$2:$J$699,MATCH("Pos",[1]FINAL!$A$1:$J$1,0),0),"")</f>
        <v/>
      </c>
      <c r="E521" s="4" t="str">
        <f>IFERROR(VLOOKUP($A521&amp;$E504,DATA!$F$1:$G$500,MATCH("FULL IN",DATA!$F$1:$G$1,0),0),$E504)</f>
        <v/>
      </c>
      <c r="F521" s="2" t="str">
        <f t="shared" si="91"/>
        <v/>
      </c>
      <c r="G521" s="2" t="str">
        <f>IFERROR(VLOOKUP(E521,[1]FINAL!$A$2:$M$699,MATCH("Team",[1]FINAL!$A$1:$K$1,0),0),"")</f>
        <v/>
      </c>
      <c r="I521" s="4" t="str">
        <f>IFERROR(VLOOKUP($A521&amp;$E504,DATA!$F$1:$H$500,MATCH("FULL OUT",DATA!$F$1:$H$1,0),0),"")</f>
        <v/>
      </c>
    </row>
    <row r="522" spans="1:9" x14ac:dyDescent="0.25">
      <c r="A522" s="6" t="str">
        <f t="shared" si="90"/>
        <v>GW31</v>
      </c>
      <c r="B522" s="7">
        <v>8</v>
      </c>
      <c r="C522" s="7" t="str">
        <f t="shared" si="89"/>
        <v>GW31-8</v>
      </c>
      <c r="D522" s="1" t="str">
        <f>IFERROR(VLOOKUP(E522,[1]FINAL!$A$2:$J$699,MATCH("Pos",[1]FINAL!$A$1:$J$1,0),0),"")</f>
        <v/>
      </c>
      <c r="E522" s="4" t="str">
        <f>IFERROR(VLOOKUP($A522&amp;$E505,DATA!$F$1:$G$500,MATCH("FULL IN",DATA!$F$1:$G$1,0),0),$E505)</f>
        <v/>
      </c>
      <c r="F522" s="2" t="str">
        <f t="shared" si="91"/>
        <v/>
      </c>
      <c r="G522" s="2" t="str">
        <f>IFERROR(VLOOKUP(E522,[1]FINAL!$A$2:$M$699,MATCH("Team",[1]FINAL!$A$1:$K$1,0),0),"")</f>
        <v/>
      </c>
      <c r="I522" s="4" t="str">
        <f>IFERROR(VLOOKUP($A522&amp;$E505,DATA!$F$1:$H$500,MATCH("FULL OUT",DATA!$F$1:$H$1,0),0),"")</f>
        <v/>
      </c>
    </row>
    <row r="523" spans="1:9" x14ac:dyDescent="0.25">
      <c r="A523" s="6" t="str">
        <f t="shared" si="90"/>
        <v>GW31</v>
      </c>
      <c r="B523" s="7">
        <v>9</v>
      </c>
      <c r="C523" s="7" t="str">
        <f t="shared" si="89"/>
        <v>GW31-9</v>
      </c>
      <c r="D523" s="1" t="str">
        <f>IFERROR(VLOOKUP(E523,[1]FINAL!$A$2:$J$699,MATCH("Pos",[1]FINAL!$A$1:$J$1,0),0),"")</f>
        <v/>
      </c>
      <c r="E523" s="4" t="str">
        <f>IFERROR(VLOOKUP($A523&amp;$E506,DATA!$F$1:$G$500,MATCH("FULL IN",DATA!$F$1:$G$1,0),0),$E506)</f>
        <v/>
      </c>
      <c r="F523" s="2" t="str">
        <f t="shared" si="91"/>
        <v/>
      </c>
      <c r="G523" s="2" t="str">
        <f>IFERROR(VLOOKUP(E523,[1]FINAL!$A$2:$M$699,MATCH("Team",[1]FINAL!$A$1:$K$1,0),0),"")</f>
        <v/>
      </c>
      <c r="I523" s="4" t="str">
        <f>IFERROR(VLOOKUP($A523&amp;$E506,DATA!$F$1:$H$500,MATCH("FULL OUT",DATA!$F$1:$H$1,0),0),"")</f>
        <v/>
      </c>
    </row>
    <row r="524" spans="1:9" x14ac:dyDescent="0.25">
      <c r="A524" s="6" t="str">
        <f t="shared" si="90"/>
        <v>GW31</v>
      </c>
      <c r="B524" s="7">
        <v>10</v>
      </c>
      <c r="C524" s="7" t="str">
        <f t="shared" si="89"/>
        <v>GW31-10</v>
      </c>
      <c r="D524" s="1" t="str">
        <f>IFERROR(VLOOKUP(E524,[1]FINAL!$A$2:$J$699,MATCH("Pos",[1]FINAL!$A$1:$J$1,0),0),"")</f>
        <v/>
      </c>
      <c r="E524" s="4" t="str">
        <f>IFERROR(VLOOKUP($A524&amp;$E507,DATA!$F$1:$G$500,MATCH("FULL IN",DATA!$F$1:$G$1,0),0),$E507)</f>
        <v/>
      </c>
      <c r="F524" s="2" t="str">
        <f t="shared" si="91"/>
        <v/>
      </c>
      <c r="G524" s="2" t="str">
        <f>IFERROR(VLOOKUP(E524,[1]FINAL!$A$2:$M$699,MATCH("Team",[1]FINAL!$A$1:$K$1,0),0),"")</f>
        <v/>
      </c>
      <c r="I524" s="4" t="str">
        <f>IFERROR(VLOOKUP($A524&amp;$E507,DATA!$F$1:$H$500,MATCH("FULL OUT",DATA!$F$1:$H$1,0),0),"")</f>
        <v/>
      </c>
    </row>
    <row r="525" spans="1:9" x14ac:dyDescent="0.25">
      <c r="A525" s="6" t="str">
        <f t="shared" si="90"/>
        <v>GW31</v>
      </c>
      <c r="B525" s="7">
        <v>11</v>
      </c>
      <c r="C525" s="7" t="str">
        <f t="shared" si="89"/>
        <v>GW31-11</v>
      </c>
      <c r="D525" s="1" t="str">
        <f>IFERROR(VLOOKUP(E525,[1]FINAL!$A$2:$J$699,MATCH("Pos",[1]FINAL!$A$1:$J$1,0),0),"")</f>
        <v/>
      </c>
      <c r="E525" s="4" t="str">
        <f>IFERROR(VLOOKUP($A525&amp;$E508,DATA!$F$1:$G$500,MATCH("FULL IN",DATA!$F$1:$G$1,0),0),$E508)</f>
        <v/>
      </c>
      <c r="F525" s="2" t="str">
        <f t="shared" si="91"/>
        <v/>
      </c>
      <c r="G525" s="2" t="str">
        <f>IFERROR(VLOOKUP(E525,[1]FINAL!$A$2:$M$699,MATCH("Team",[1]FINAL!$A$1:$K$1,0),0),"")</f>
        <v/>
      </c>
      <c r="I525" s="4" t="str">
        <f>IFERROR(VLOOKUP($A525&amp;$E508,DATA!$F$1:$H$500,MATCH("FULL OUT",DATA!$F$1:$H$1,0),0),"")</f>
        <v/>
      </c>
    </row>
    <row r="526" spans="1:9" x14ac:dyDescent="0.25">
      <c r="A526" s="6" t="str">
        <f t="shared" si="90"/>
        <v>GW31</v>
      </c>
      <c r="B526" s="7">
        <v>12</v>
      </c>
      <c r="C526" s="7" t="str">
        <f t="shared" si="89"/>
        <v>GW31-12</v>
      </c>
      <c r="D526" s="1" t="str">
        <f>IFERROR(VLOOKUP(E526,[1]FINAL!$A$2:$J$699,MATCH("Pos",[1]FINAL!$A$1:$J$1,0),0),"")</f>
        <v/>
      </c>
      <c r="E526" s="4" t="str">
        <f>IFERROR(VLOOKUP($A526&amp;$E509,DATA!$F$1:$G$500,MATCH("FULL IN",DATA!$F$1:$G$1,0),0),$E509)</f>
        <v/>
      </c>
      <c r="F526" s="2" t="str">
        <f t="shared" si="91"/>
        <v/>
      </c>
      <c r="G526" s="2" t="str">
        <f>IFERROR(VLOOKUP(E526,[1]FINAL!$A$2:$M$699,MATCH("Team",[1]FINAL!$A$1:$K$1,0),0),"")</f>
        <v/>
      </c>
      <c r="I526" s="4" t="str">
        <f>IFERROR(VLOOKUP($A526&amp;$E509,DATA!$F$1:$H$500,MATCH("FULL OUT",DATA!$F$1:$H$1,0),0),"")</f>
        <v/>
      </c>
    </row>
    <row r="527" spans="1:9" x14ac:dyDescent="0.25">
      <c r="A527" s="6" t="str">
        <f t="shared" si="90"/>
        <v>GW31</v>
      </c>
      <c r="B527" s="7">
        <v>13</v>
      </c>
      <c r="C527" s="7" t="str">
        <f t="shared" si="89"/>
        <v>GW31-13</v>
      </c>
      <c r="D527" s="1" t="str">
        <f>IFERROR(VLOOKUP(E527,[1]FINAL!$A$2:$J$699,MATCH("Pos",[1]FINAL!$A$1:$J$1,0),0),"")</f>
        <v/>
      </c>
      <c r="E527" s="4" t="str">
        <f>IFERROR(VLOOKUP($A527&amp;$E510,DATA!$F$1:$G$500,MATCH("FULL IN",DATA!$F$1:$G$1,0),0),$E510)</f>
        <v/>
      </c>
      <c r="F527" s="2" t="str">
        <f t="shared" si="91"/>
        <v/>
      </c>
      <c r="G527" s="2" t="str">
        <f>IFERROR(VLOOKUP(E527,[1]FINAL!$A$2:$M$699,MATCH("Team",[1]FINAL!$A$1:$K$1,0),0),"")</f>
        <v/>
      </c>
      <c r="I527" s="4" t="str">
        <f>IFERROR(VLOOKUP($A527&amp;$E510,DATA!$F$1:$H$500,MATCH("FULL OUT",DATA!$F$1:$H$1,0),0),"")</f>
        <v/>
      </c>
    </row>
    <row r="528" spans="1:9" x14ac:dyDescent="0.25">
      <c r="A528" s="6" t="str">
        <f t="shared" si="90"/>
        <v>GW31</v>
      </c>
      <c r="B528" s="7">
        <v>14</v>
      </c>
      <c r="C528" s="7" t="str">
        <f t="shared" si="89"/>
        <v>GW31-14</v>
      </c>
      <c r="D528" s="1" t="str">
        <f>IFERROR(VLOOKUP(E528,[1]FINAL!$A$2:$J$699,MATCH("Pos",[1]FINAL!$A$1:$J$1,0),0),"")</f>
        <v/>
      </c>
      <c r="E528" s="4" t="str">
        <f>IFERROR(VLOOKUP($A528&amp;$E511,DATA!$F$1:$G$500,MATCH("FULL IN",DATA!$F$1:$G$1,0),0),$E511)</f>
        <v/>
      </c>
      <c r="F528" s="2" t="str">
        <f t="shared" si="91"/>
        <v/>
      </c>
      <c r="G528" s="2" t="str">
        <f>IFERROR(VLOOKUP(E528,[1]FINAL!$A$2:$M$699,MATCH("Team",[1]FINAL!$A$1:$K$1,0),0),"")</f>
        <v/>
      </c>
      <c r="I528" s="4" t="str">
        <f>IFERROR(VLOOKUP($A528&amp;$E511,DATA!$F$1:$H$500,MATCH("FULL OUT",DATA!$F$1:$H$1,0),0),"")</f>
        <v/>
      </c>
    </row>
    <row r="529" spans="1:9" x14ac:dyDescent="0.25">
      <c r="A529" s="6" t="str">
        <f t="shared" si="90"/>
        <v>GW31</v>
      </c>
      <c r="B529" s="7">
        <v>15</v>
      </c>
      <c r="C529" s="7" t="str">
        <f t="shared" si="89"/>
        <v>GW31-15</v>
      </c>
      <c r="D529" s="1" t="str">
        <f>IFERROR(VLOOKUP(E529,[1]FINAL!$A$2:$J$699,MATCH("Pos",[1]FINAL!$A$1:$J$1,0),0),"")</f>
        <v/>
      </c>
      <c r="E529" s="4" t="str">
        <f>IFERROR(VLOOKUP($A529&amp;$E512,DATA!$F$1:$G$500,MATCH("FULL IN",DATA!$F$1:$G$1,0),0),$E512)</f>
        <v/>
      </c>
      <c r="F529" s="2" t="str">
        <f t="shared" si="91"/>
        <v/>
      </c>
      <c r="G529" s="2" t="str">
        <f>IFERROR(VLOOKUP(E529,[1]FINAL!$A$2:$M$699,MATCH("Team",[1]FINAL!$A$1:$K$1,0),0),"")</f>
        <v/>
      </c>
      <c r="I529" s="4" t="str">
        <f>IFERROR(VLOOKUP($A529&amp;$E512,DATA!$F$1:$H$500,MATCH("FULL OUT",DATA!$F$1:$H$1,0),0),"")</f>
        <v/>
      </c>
    </row>
    <row r="532" spans="1:9" x14ac:dyDescent="0.25">
      <c r="A532" s="6" t="s">
        <v>34</v>
      </c>
      <c r="B532" s="7">
        <v>1</v>
      </c>
      <c r="C532" s="7" t="str">
        <f>A532&amp;-B532</f>
        <v>GW32-1</v>
      </c>
      <c r="D532" s="1" t="str">
        <f>IFERROR(VLOOKUP(E532,[1]FINAL!$A$2:$J$699,MATCH("Pos",[1]FINAL!$A$1:$J$1,0),0),"")</f>
        <v/>
      </c>
      <c r="E532" s="4" t="str">
        <f>IFERROR(VLOOKUP($A532&amp;$E515,DATA!$F$1:$G$500,MATCH("FULL IN",DATA!$F$1:$G$1,0),0),$E515)</f>
        <v>Player Name</v>
      </c>
      <c r="G532" s="2" t="str">
        <f>IFERROR(VLOOKUP(E532,[1]FINAL!$A$2:$M$699,MATCH("Team",[1]FINAL!$A$1:$K$1,0),0),"")</f>
        <v/>
      </c>
      <c r="I532" s="4" t="str">
        <f>IFERROR(VLOOKUP($A532&amp;$E515,DATA!$F$1:$H$500,MATCH("FULL OUT",DATA!$F$1:$H$1,0),0),"")</f>
        <v/>
      </c>
    </row>
    <row r="533" spans="1:9" x14ac:dyDescent="0.25">
      <c r="A533" s="6" t="str">
        <f>A532</f>
        <v>GW32</v>
      </c>
      <c r="B533" s="7">
        <v>2</v>
      </c>
      <c r="C533" s="7" t="str">
        <f t="shared" ref="C533:C546" si="92">A533&amp;-B533</f>
        <v>GW32-2</v>
      </c>
      <c r="D533" s="1" t="str">
        <f>IFERROR(VLOOKUP(E533,[1]FINAL!$A$2:$J$699,MATCH("Pos",[1]FINAL!$A$1:$J$1,0),0),"")</f>
        <v/>
      </c>
      <c r="E533" s="4" t="str">
        <f>IFERROR(VLOOKUP($A533&amp;$E516,DATA!$F$1:$G$500,MATCH("FULL IN",DATA!$F$1:$G$1,0),0),$E516)</f>
        <v/>
      </c>
      <c r="F533" s="2" t="str">
        <f>IF(Z533="","","IN")</f>
        <v/>
      </c>
      <c r="G533" s="2" t="str">
        <f>IFERROR(VLOOKUP(E533,[1]FINAL!$A$2:$M$699,MATCH("Team",[1]FINAL!$A$1:$K$1,0),0),"")</f>
        <v/>
      </c>
      <c r="I533" s="4" t="str">
        <f>IFERROR(VLOOKUP($A533&amp;$E516,DATA!$F$1:$H$500,MATCH("FULL OUT",DATA!$F$1:$H$1,0),0),"")</f>
        <v/>
      </c>
    </row>
    <row r="534" spans="1:9" x14ac:dyDescent="0.25">
      <c r="A534" s="6" t="str">
        <f t="shared" ref="A534:A546" si="93">A533</f>
        <v>GW32</v>
      </c>
      <c r="B534" s="7">
        <v>3</v>
      </c>
      <c r="C534" s="7" t="str">
        <f t="shared" si="92"/>
        <v>GW32-3</v>
      </c>
      <c r="D534" s="1" t="str">
        <f>IFERROR(VLOOKUP(E534,[1]FINAL!$A$2:$J$699,MATCH("Pos",[1]FINAL!$A$1:$J$1,0),0),"")</f>
        <v/>
      </c>
      <c r="E534" s="4" t="str">
        <f>IFERROR(VLOOKUP($A534&amp;$E517,DATA!$F$1:$G$500,MATCH("FULL IN",DATA!$F$1:$G$1,0),0),$E517)</f>
        <v/>
      </c>
      <c r="F534" s="2" t="str">
        <f t="shared" ref="F534:F546" si="94">IF(Z534="","","IN")</f>
        <v/>
      </c>
      <c r="G534" s="2" t="str">
        <f>IFERROR(VLOOKUP(E534,[1]FINAL!$A$2:$M$699,MATCH("Team",[1]FINAL!$A$1:$K$1,0),0),"")</f>
        <v/>
      </c>
      <c r="I534" s="4" t="str">
        <f>IFERROR(VLOOKUP($A534&amp;$E517,DATA!$F$1:$H$500,MATCH("FULL OUT",DATA!$F$1:$H$1,0),0),"")</f>
        <v/>
      </c>
    </row>
    <row r="535" spans="1:9" x14ac:dyDescent="0.25">
      <c r="A535" s="6" t="str">
        <f t="shared" si="93"/>
        <v>GW32</v>
      </c>
      <c r="B535" s="7">
        <v>4</v>
      </c>
      <c r="C535" s="7" t="str">
        <f t="shared" si="92"/>
        <v>GW32-4</v>
      </c>
      <c r="D535" s="1" t="str">
        <f>IFERROR(VLOOKUP(E535,[1]FINAL!$A$2:$J$699,MATCH("Pos",[1]FINAL!$A$1:$J$1,0),0),"")</f>
        <v/>
      </c>
      <c r="E535" s="4" t="str">
        <f>IFERROR(VLOOKUP($A535&amp;$E518,DATA!$F$1:$G$500,MATCH("FULL IN",DATA!$F$1:$G$1,0),0),$E518)</f>
        <v/>
      </c>
      <c r="F535" s="2" t="str">
        <f t="shared" si="94"/>
        <v/>
      </c>
      <c r="G535" s="2" t="str">
        <f>IFERROR(VLOOKUP(E535,[1]FINAL!$A$2:$M$699,MATCH("Team",[1]FINAL!$A$1:$K$1,0),0),"")</f>
        <v/>
      </c>
      <c r="I535" s="4" t="str">
        <f>IFERROR(VLOOKUP($A535&amp;$E518,DATA!$F$1:$H$500,MATCH("FULL OUT",DATA!$F$1:$H$1,0),0),"")</f>
        <v/>
      </c>
    </row>
    <row r="536" spans="1:9" x14ac:dyDescent="0.25">
      <c r="A536" s="6" t="str">
        <f t="shared" si="93"/>
        <v>GW32</v>
      </c>
      <c r="B536" s="7">
        <v>5</v>
      </c>
      <c r="C536" s="7" t="str">
        <f t="shared" si="92"/>
        <v>GW32-5</v>
      </c>
      <c r="D536" s="1" t="str">
        <f>IFERROR(VLOOKUP(E536,[1]FINAL!$A$2:$J$699,MATCH("Pos",[1]FINAL!$A$1:$J$1,0),0),"")</f>
        <v/>
      </c>
      <c r="E536" s="4" t="str">
        <f>IFERROR(VLOOKUP($A536&amp;$E519,DATA!$F$1:$G$500,MATCH("FULL IN",DATA!$F$1:$G$1,0),0),$E519)</f>
        <v/>
      </c>
      <c r="F536" s="2" t="str">
        <f t="shared" si="94"/>
        <v/>
      </c>
      <c r="G536" s="2" t="str">
        <f>IFERROR(VLOOKUP(E536,[1]FINAL!$A$2:$M$699,MATCH("Team",[1]FINAL!$A$1:$K$1,0),0),"")</f>
        <v/>
      </c>
      <c r="I536" s="4" t="str">
        <f>IFERROR(VLOOKUP($A536&amp;$E519,DATA!$F$1:$H$500,MATCH("FULL OUT",DATA!$F$1:$H$1,0),0),"")</f>
        <v/>
      </c>
    </row>
    <row r="537" spans="1:9" x14ac:dyDescent="0.25">
      <c r="A537" s="6" t="str">
        <f t="shared" si="93"/>
        <v>GW32</v>
      </c>
      <c r="B537" s="7">
        <v>6</v>
      </c>
      <c r="C537" s="7" t="str">
        <f t="shared" si="92"/>
        <v>GW32-6</v>
      </c>
      <c r="D537" s="1" t="str">
        <f>IFERROR(VLOOKUP(E537,[1]FINAL!$A$2:$J$699,MATCH("Pos",[1]FINAL!$A$1:$J$1,0),0),"")</f>
        <v/>
      </c>
      <c r="E537" s="4" t="str">
        <f>IFERROR(VLOOKUP($A537&amp;$E520,DATA!$F$1:$G$500,MATCH("FULL IN",DATA!$F$1:$G$1,0),0),$E520)</f>
        <v/>
      </c>
      <c r="F537" s="2" t="str">
        <f t="shared" si="94"/>
        <v/>
      </c>
      <c r="G537" s="2" t="str">
        <f>IFERROR(VLOOKUP(E537,[1]FINAL!$A$2:$M$699,MATCH("Team",[1]FINAL!$A$1:$K$1,0),0),"")</f>
        <v/>
      </c>
      <c r="I537" s="4" t="str">
        <f>IFERROR(VLOOKUP($A537&amp;$E520,DATA!$F$1:$H$500,MATCH("FULL OUT",DATA!$F$1:$H$1,0),0),"")</f>
        <v/>
      </c>
    </row>
    <row r="538" spans="1:9" x14ac:dyDescent="0.25">
      <c r="A538" s="6" t="str">
        <f t="shared" si="93"/>
        <v>GW32</v>
      </c>
      <c r="B538" s="7">
        <v>7</v>
      </c>
      <c r="C538" s="7" t="str">
        <f t="shared" si="92"/>
        <v>GW32-7</v>
      </c>
      <c r="D538" s="1" t="str">
        <f>IFERROR(VLOOKUP(E538,[1]FINAL!$A$2:$J$699,MATCH("Pos",[1]FINAL!$A$1:$J$1,0),0),"")</f>
        <v/>
      </c>
      <c r="E538" s="4" t="str">
        <f>IFERROR(VLOOKUP($A538&amp;$E521,DATA!$F$1:$G$500,MATCH("FULL IN",DATA!$F$1:$G$1,0),0),$E521)</f>
        <v/>
      </c>
      <c r="F538" s="2" t="str">
        <f t="shared" si="94"/>
        <v/>
      </c>
      <c r="G538" s="2" t="str">
        <f>IFERROR(VLOOKUP(E538,[1]FINAL!$A$2:$M$699,MATCH("Team",[1]FINAL!$A$1:$K$1,0),0),"")</f>
        <v/>
      </c>
      <c r="I538" s="4" t="str">
        <f>IFERROR(VLOOKUP($A538&amp;$E521,DATA!$F$1:$H$500,MATCH("FULL OUT",DATA!$F$1:$H$1,0),0),"")</f>
        <v/>
      </c>
    </row>
    <row r="539" spans="1:9" x14ac:dyDescent="0.25">
      <c r="A539" s="6" t="str">
        <f t="shared" si="93"/>
        <v>GW32</v>
      </c>
      <c r="B539" s="7">
        <v>8</v>
      </c>
      <c r="C539" s="7" t="str">
        <f t="shared" si="92"/>
        <v>GW32-8</v>
      </c>
      <c r="D539" s="1" t="str">
        <f>IFERROR(VLOOKUP(E539,[1]FINAL!$A$2:$J$699,MATCH("Pos",[1]FINAL!$A$1:$J$1,0),0),"")</f>
        <v/>
      </c>
      <c r="E539" s="4" t="str">
        <f>IFERROR(VLOOKUP($A539&amp;$E522,DATA!$F$1:$G$500,MATCH("FULL IN",DATA!$F$1:$G$1,0),0),$E522)</f>
        <v/>
      </c>
      <c r="F539" s="2" t="str">
        <f t="shared" si="94"/>
        <v/>
      </c>
      <c r="G539" s="2" t="str">
        <f>IFERROR(VLOOKUP(E539,[1]FINAL!$A$2:$M$699,MATCH("Team",[1]FINAL!$A$1:$K$1,0),0),"")</f>
        <v/>
      </c>
      <c r="I539" s="4" t="str">
        <f>IFERROR(VLOOKUP($A539&amp;$E522,DATA!$F$1:$H$500,MATCH("FULL OUT",DATA!$F$1:$H$1,0),0),"")</f>
        <v/>
      </c>
    </row>
    <row r="540" spans="1:9" x14ac:dyDescent="0.25">
      <c r="A540" s="6" t="str">
        <f t="shared" si="93"/>
        <v>GW32</v>
      </c>
      <c r="B540" s="7">
        <v>9</v>
      </c>
      <c r="C540" s="7" t="str">
        <f t="shared" si="92"/>
        <v>GW32-9</v>
      </c>
      <c r="D540" s="1" t="str">
        <f>IFERROR(VLOOKUP(E540,[1]FINAL!$A$2:$J$699,MATCH("Pos",[1]FINAL!$A$1:$J$1,0),0),"")</f>
        <v/>
      </c>
      <c r="E540" s="4" t="str">
        <f>IFERROR(VLOOKUP($A540&amp;$E523,DATA!$F$1:$G$500,MATCH("FULL IN",DATA!$F$1:$G$1,0),0),$E523)</f>
        <v/>
      </c>
      <c r="F540" s="2" t="str">
        <f t="shared" si="94"/>
        <v/>
      </c>
      <c r="G540" s="2" t="str">
        <f>IFERROR(VLOOKUP(E540,[1]FINAL!$A$2:$M$699,MATCH("Team",[1]FINAL!$A$1:$K$1,0),0),"")</f>
        <v/>
      </c>
      <c r="I540" s="4" t="str">
        <f>IFERROR(VLOOKUP($A540&amp;$E523,DATA!$F$1:$H$500,MATCH("FULL OUT",DATA!$F$1:$H$1,0),0),"")</f>
        <v/>
      </c>
    </row>
    <row r="541" spans="1:9" x14ac:dyDescent="0.25">
      <c r="A541" s="6" t="str">
        <f t="shared" si="93"/>
        <v>GW32</v>
      </c>
      <c r="B541" s="7">
        <v>10</v>
      </c>
      <c r="C541" s="7" t="str">
        <f t="shared" si="92"/>
        <v>GW32-10</v>
      </c>
      <c r="D541" s="1" t="str">
        <f>IFERROR(VLOOKUP(E541,[1]FINAL!$A$2:$J$699,MATCH("Pos",[1]FINAL!$A$1:$J$1,0),0),"")</f>
        <v/>
      </c>
      <c r="E541" s="4" t="str">
        <f>IFERROR(VLOOKUP($A541&amp;$E524,DATA!$F$1:$G$500,MATCH("FULL IN",DATA!$F$1:$G$1,0),0),$E524)</f>
        <v/>
      </c>
      <c r="F541" s="2" t="str">
        <f t="shared" si="94"/>
        <v/>
      </c>
      <c r="G541" s="2" t="str">
        <f>IFERROR(VLOOKUP(E541,[1]FINAL!$A$2:$M$699,MATCH("Team",[1]FINAL!$A$1:$K$1,0),0),"")</f>
        <v/>
      </c>
      <c r="I541" s="4" t="str">
        <f>IFERROR(VLOOKUP($A541&amp;$E524,DATA!$F$1:$H$500,MATCH("FULL OUT",DATA!$F$1:$H$1,0),0),"")</f>
        <v/>
      </c>
    </row>
    <row r="542" spans="1:9" x14ac:dyDescent="0.25">
      <c r="A542" s="6" t="str">
        <f t="shared" si="93"/>
        <v>GW32</v>
      </c>
      <c r="B542" s="7">
        <v>11</v>
      </c>
      <c r="C542" s="7" t="str">
        <f t="shared" si="92"/>
        <v>GW32-11</v>
      </c>
      <c r="D542" s="1" t="str">
        <f>IFERROR(VLOOKUP(E542,[1]FINAL!$A$2:$J$699,MATCH("Pos",[1]FINAL!$A$1:$J$1,0),0),"")</f>
        <v/>
      </c>
      <c r="E542" s="4" t="str">
        <f>IFERROR(VLOOKUP($A542&amp;$E525,DATA!$F$1:$G$500,MATCH("FULL IN",DATA!$F$1:$G$1,0),0),$E525)</f>
        <v/>
      </c>
      <c r="F542" s="2" t="str">
        <f t="shared" si="94"/>
        <v/>
      </c>
      <c r="G542" s="2" t="str">
        <f>IFERROR(VLOOKUP(E542,[1]FINAL!$A$2:$M$699,MATCH("Team",[1]FINAL!$A$1:$K$1,0),0),"")</f>
        <v/>
      </c>
      <c r="I542" s="4" t="str">
        <f>IFERROR(VLOOKUP($A542&amp;$E525,DATA!$F$1:$H$500,MATCH("FULL OUT",DATA!$F$1:$H$1,0),0),"")</f>
        <v/>
      </c>
    </row>
    <row r="543" spans="1:9" x14ac:dyDescent="0.25">
      <c r="A543" s="6" t="str">
        <f t="shared" si="93"/>
        <v>GW32</v>
      </c>
      <c r="B543" s="7">
        <v>12</v>
      </c>
      <c r="C543" s="7" t="str">
        <f t="shared" si="92"/>
        <v>GW32-12</v>
      </c>
      <c r="D543" s="1" t="str">
        <f>IFERROR(VLOOKUP(E543,[1]FINAL!$A$2:$J$699,MATCH("Pos",[1]FINAL!$A$1:$J$1,0),0),"")</f>
        <v/>
      </c>
      <c r="E543" s="4" t="str">
        <f>IFERROR(VLOOKUP($A543&amp;$E526,DATA!$F$1:$G$500,MATCH("FULL IN",DATA!$F$1:$G$1,0),0),$E526)</f>
        <v/>
      </c>
      <c r="F543" s="2" t="str">
        <f t="shared" si="94"/>
        <v/>
      </c>
      <c r="G543" s="2" t="str">
        <f>IFERROR(VLOOKUP(E543,[1]FINAL!$A$2:$M$699,MATCH("Team",[1]FINAL!$A$1:$K$1,0),0),"")</f>
        <v/>
      </c>
      <c r="I543" s="4" t="str">
        <f>IFERROR(VLOOKUP($A543&amp;$E526,DATA!$F$1:$H$500,MATCH("FULL OUT",DATA!$F$1:$H$1,0),0),"")</f>
        <v/>
      </c>
    </row>
    <row r="544" spans="1:9" x14ac:dyDescent="0.25">
      <c r="A544" s="6" t="str">
        <f t="shared" si="93"/>
        <v>GW32</v>
      </c>
      <c r="B544" s="7">
        <v>13</v>
      </c>
      <c r="C544" s="7" t="str">
        <f t="shared" si="92"/>
        <v>GW32-13</v>
      </c>
      <c r="D544" s="1" t="str">
        <f>IFERROR(VLOOKUP(E544,[1]FINAL!$A$2:$J$699,MATCH("Pos",[1]FINAL!$A$1:$J$1,0),0),"")</f>
        <v/>
      </c>
      <c r="E544" s="4" t="str">
        <f>IFERROR(VLOOKUP($A544&amp;$E527,DATA!$F$1:$G$500,MATCH("FULL IN",DATA!$F$1:$G$1,0),0),$E527)</f>
        <v/>
      </c>
      <c r="F544" s="2" t="str">
        <f t="shared" si="94"/>
        <v/>
      </c>
      <c r="G544" s="2" t="str">
        <f>IFERROR(VLOOKUP(E544,[1]FINAL!$A$2:$M$699,MATCH("Team",[1]FINAL!$A$1:$K$1,0),0),"")</f>
        <v/>
      </c>
      <c r="I544" s="4" t="str">
        <f>IFERROR(VLOOKUP($A544&amp;$E527,DATA!$F$1:$H$500,MATCH("FULL OUT",DATA!$F$1:$H$1,0),0),"")</f>
        <v/>
      </c>
    </row>
    <row r="545" spans="1:9" x14ac:dyDescent="0.25">
      <c r="A545" s="6" t="str">
        <f t="shared" si="93"/>
        <v>GW32</v>
      </c>
      <c r="B545" s="7">
        <v>14</v>
      </c>
      <c r="C545" s="7" t="str">
        <f t="shared" si="92"/>
        <v>GW32-14</v>
      </c>
      <c r="D545" s="1" t="str">
        <f>IFERROR(VLOOKUP(E545,[1]FINAL!$A$2:$J$699,MATCH("Pos",[1]FINAL!$A$1:$J$1,0),0),"")</f>
        <v/>
      </c>
      <c r="E545" s="4" t="str">
        <f>IFERROR(VLOOKUP($A545&amp;$E528,DATA!$F$1:$G$500,MATCH("FULL IN",DATA!$F$1:$G$1,0),0),$E528)</f>
        <v/>
      </c>
      <c r="F545" s="2" t="str">
        <f t="shared" si="94"/>
        <v/>
      </c>
      <c r="G545" s="2" t="str">
        <f>IFERROR(VLOOKUP(E545,[1]FINAL!$A$2:$M$699,MATCH("Team",[1]FINAL!$A$1:$K$1,0),0),"")</f>
        <v/>
      </c>
      <c r="I545" s="4" t="str">
        <f>IFERROR(VLOOKUP($A545&amp;$E528,DATA!$F$1:$H$500,MATCH("FULL OUT",DATA!$F$1:$H$1,0),0),"")</f>
        <v/>
      </c>
    </row>
    <row r="546" spans="1:9" x14ac:dyDescent="0.25">
      <c r="A546" s="6" t="str">
        <f t="shared" si="93"/>
        <v>GW32</v>
      </c>
      <c r="B546" s="7">
        <v>15</v>
      </c>
      <c r="C546" s="7" t="str">
        <f t="shared" si="92"/>
        <v>GW32-15</v>
      </c>
      <c r="D546" s="1" t="str">
        <f>IFERROR(VLOOKUP(E546,[1]FINAL!$A$2:$J$699,MATCH("Pos",[1]FINAL!$A$1:$J$1,0),0),"")</f>
        <v/>
      </c>
      <c r="E546" s="4" t="str">
        <f>IFERROR(VLOOKUP($A546&amp;$E529,DATA!$F$1:$G$500,MATCH("FULL IN",DATA!$F$1:$G$1,0),0),$E529)</f>
        <v/>
      </c>
      <c r="F546" s="2" t="str">
        <f t="shared" si="94"/>
        <v/>
      </c>
      <c r="G546" s="2" t="str">
        <f>IFERROR(VLOOKUP(E546,[1]FINAL!$A$2:$M$699,MATCH("Team",[1]FINAL!$A$1:$K$1,0),0),"")</f>
        <v/>
      </c>
      <c r="I546" s="4" t="str">
        <f>IFERROR(VLOOKUP($A546&amp;$E529,DATA!$F$1:$H$500,MATCH("FULL OUT",DATA!$F$1:$H$1,0),0),"")</f>
        <v/>
      </c>
    </row>
    <row r="549" spans="1:9" x14ac:dyDescent="0.25">
      <c r="A549" s="6" t="s">
        <v>35</v>
      </c>
      <c r="B549" s="7">
        <v>1</v>
      </c>
      <c r="C549" s="7" t="str">
        <f>A549&amp;-B549</f>
        <v>GW33-1</v>
      </c>
      <c r="D549" s="1" t="str">
        <f>IFERROR(VLOOKUP(E549,[1]FINAL!$A$2:$J$699,MATCH("Pos",[1]FINAL!$A$1:$J$1,0),0),"")</f>
        <v/>
      </c>
      <c r="E549" s="4" t="str">
        <f>IFERROR(VLOOKUP($A549&amp;$E532,DATA!$F$1:$G$500,MATCH("FULL IN",DATA!$F$1:$G$1,0),0),$E532)</f>
        <v>Player Name</v>
      </c>
      <c r="G549" s="2" t="str">
        <f>IFERROR(VLOOKUP(E549,[1]FINAL!$A$2:$M$699,MATCH("Team",[1]FINAL!$A$1:$K$1,0),0),"")</f>
        <v/>
      </c>
      <c r="I549" s="4" t="str">
        <f>IFERROR(VLOOKUP($A549&amp;$E532,DATA!$F$1:$H$500,MATCH("FULL OUT",DATA!$F$1:$H$1,0),0),"")</f>
        <v/>
      </c>
    </row>
    <row r="550" spans="1:9" x14ac:dyDescent="0.25">
      <c r="A550" s="6" t="str">
        <f>A549</f>
        <v>GW33</v>
      </c>
      <c r="B550" s="7">
        <v>2</v>
      </c>
      <c r="C550" s="7" t="str">
        <f t="shared" ref="C550:C563" si="95">A550&amp;-B550</f>
        <v>GW33-2</v>
      </c>
      <c r="D550" s="1" t="str">
        <f>IFERROR(VLOOKUP(E550,[1]FINAL!$A$2:$J$699,MATCH("Pos",[1]FINAL!$A$1:$J$1,0),0),"")</f>
        <v/>
      </c>
      <c r="E550" s="4" t="str">
        <f>IFERROR(VLOOKUP($A550&amp;$E533,DATA!$F$1:$G$500,MATCH("FULL IN",DATA!$F$1:$G$1,0),0),$E533)</f>
        <v/>
      </c>
      <c r="F550" s="2" t="str">
        <f>IF(Z550="","","IN")</f>
        <v/>
      </c>
      <c r="G550" s="2" t="str">
        <f>IFERROR(VLOOKUP(E550,[1]FINAL!$A$2:$M$699,MATCH("Team",[1]FINAL!$A$1:$K$1,0),0),"")</f>
        <v/>
      </c>
      <c r="I550" s="4" t="str">
        <f>IFERROR(VLOOKUP($A550&amp;$E533,DATA!$F$1:$H$500,MATCH("FULL OUT",DATA!$F$1:$H$1,0),0),"")</f>
        <v/>
      </c>
    </row>
    <row r="551" spans="1:9" x14ac:dyDescent="0.25">
      <c r="A551" s="6" t="str">
        <f t="shared" ref="A551:A563" si="96">A550</f>
        <v>GW33</v>
      </c>
      <c r="B551" s="7">
        <v>3</v>
      </c>
      <c r="C551" s="7" t="str">
        <f t="shared" si="95"/>
        <v>GW33-3</v>
      </c>
      <c r="D551" s="1" t="str">
        <f>IFERROR(VLOOKUP(E551,[1]FINAL!$A$2:$J$699,MATCH("Pos",[1]FINAL!$A$1:$J$1,0),0),"")</f>
        <v/>
      </c>
      <c r="E551" s="4" t="str">
        <f>IFERROR(VLOOKUP($A551&amp;$E534,DATA!$F$1:$G$500,MATCH("FULL IN",DATA!$F$1:$G$1,0),0),$E534)</f>
        <v/>
      </c>
      <c r="F551" s="2" t="str">
        <f t="shared" ref="F551:F563" si="97">IF(Z551="","","IN")</f>
        <v/>
      </c>
      <c r="G551" s="2" t="str">
        <f>IFERROR(VLOOKUP(E551,[1]FINAL!$A$2:$M$699,MATCH("Team",[1]FINAL!$A$1:$K$1,0),0),"")</f>
        <v/>
      </c>
      <c r="I551" s="4" t="str">
        <f>IFERROR(VLOOKUP($A551&amp;$E534,DATA!$F$1:$H$500,MATCH("FULL OUT",DATA!$F$1:$H$1,0),0),"")</f>
        <v/>
      </c>
    </row>
    <row r="552" spans="1:9" x14ac:dyDescent="0.25">
      <c r="A552" s="6" t="str">
        <f t="shared" si="96"/>
        <v>GW33</v>
      </c>
      <c r="B552" s="7">
        <v>4</v>
      </c>
      <c r="C552" s="7" t="str">
        <f t="shared" si="95"/>
        <v>GW33-4</v>
      </c>
      <c r="D552" s="1" t="str">
        <f>IFERROR(VLOOKUP(E552,[1]FINAL!$A$2:$J$699,MATCH("Pos",[1]FINAL!$A$1:$J$1,0),0),"")</f>
        <v/>
      </c>
      <c r="E552" s="4" t="str">
        <f>IFERROR(VLOOKUP($A552&amp;$E535,DATA!$F$1:$G$500,MATCH("FULL IN",DATA!$F$1:$G$1,0),0),$E535)</f>
        <v/>
      </c>
      <c r="F552" s="2" t="str">
        <f t="shared" si="97"/>
        <v/>
      </c>
      <c r="G552" s="2" t="str">
        <f>IFERROR(VLOOKUP(E552,[1]FINAL!$A$2:$M$699,MATCH("Team",[1]FINAL!$A$1:$K$1,0),0),"")</f>
        <v/>
      </c>
      <c r="I552" s="4" t="str">
        <f>IFERROR(VLOOKUP($A552&amp;$E535,DATA!$F$1:$H$500,MATCH("FULL OUT",DATA!$F$1:$H$1,0),0),"")</f>
        <v/>
      </c>
    </row>
    <row r="553" spans="1:9" x14ac:dyDescent="0.25">
      <c r="A553" s="6" t="str">
        <f t="shared" si="96"/>
        <v>GW33</v>
      </c>
      <c r="B553" s="7">
        <v>5</v>
      </c>
      <c r="C553" s="7" t="str">
        <f t="shared" si="95"/>
        <v>GW33-5</v>
      </c>
      <c r="D553" s="1" t="str">
        <f>IFERROR(VLOOKUP(E553,[1]FINAL!$A$2:$J$699,MATCH("Pos",[1]FINAL!$A$1:$J$1,0),0),"")</f>
        <v/>
      </c>
      <c r="E553" s="4" t="str">
        <f>IFERROR(VLOOKUP($A553&amp;$E536,DATA!$F$1:$G$500,MATCH("FULL IN",DATA!$F$1:$G$1,0),0),$E536)</f>
        <v/>
      </c>
      <c r="F553" s="2" t="str">
        <f t="shared" si="97"/>
        <v/>
      </c>
      <c r="G553" s="2" t="str">
        <f>IFERROR(VLOOKUP(E553,[1]FINAL!$A$2:$M$699,MATCH("Team",[1]FINAL!$A$1:$K$1,0),0),"")</f>
        <v/>
      </c>
      <c r="I553" s="4" t="str">
        <f>IFERROR(VLOOKUP($A553&amp;$E536,DATA!$F$1:$H$500,MATCH("FULL OUT",DATA!$F$1:$H$1,0),0),"")</f>
        <v/>
      </c>
    </row>
    <row r="554" spans="1:9" x14ac:dyDescent="0.25">
      <c r="A554" s="6" t="str">
        <f t="shared" si="96"/>
        <v>GW33</v>
      </c>
      <c r="B554" s="7">
        <v>6</v>
      </c>
      <c r="C554" s="7" t="str">
        <f t="shared" si="95"/>
        <v>GW33-6</v>
      </c>
      <c r="D554" s="1" t="str">
        <f>IFERROR(VLOOKUP(E554,[1]FINAL!$A$2:$J$699,MATCH("Pos",[1]FINAL!$A$1:$J$1,0),0),"")</f>
        <v/>
      </c>
      <c r="E554" s="4" t="str">
        <f>IFERROR(VLOOKUP($A554&amp;$E537,DATA!$F$1:$G$500,MATCH("FULL IN",DATA!$F$1:$G$1,0),0),$E537)</f>
        <v/>
      </c>
      <c r="F554" s="2" t="str">
        <f t="shared" si="97"/>
        <v/>
      </c>
      <c r="G554" s="2" t="str">
        <f>IFERROR(VLOOKUP(E554,[1]FINAL!$A$2:$M$699,MATCH("Team",[1]FINAL!$A$1:$K$1,0),0),"")</f>
        <v/>
      </c>
      <c r="I554" s="4" t="str">
        <f>IFERROR(VLOOKUP($A554&amp;$E537,DATA!$F$1:$H$500,MATCH("FULL OUT",DATA!$F$1:$H$1,0),0),"")</f>
        <v/>
      </c>
    </row>
    <row r="555" spans="1:9" x14ac:dyDescent="0.25">
      <c r="A555" s="6" t="str">
        <f t="shared" si="96"/>
        <v>GW33</v>
      </c>
      <c r="B555" s="7">
        <v>7</v>
      </c>
      <c r="C555" s="7" t="str">
        <f t="shared" si="95"/>
        <v>GW33-7</v>
      </c>
      <c r="D555" s="1" t="str">
        <f>IFERROR(VLOOKUP(E555,[1]FINAL!$A$2:$J$699,MATCH("Pos",[1]FINAL!$A$1:$J$1,0),0),"")</f>
        <v/>
      </c>
      <c r="E555" s="4" t="str">
        <f>IFERROR(VLOOKUP($A555&amp;$E538,DATA!$F$1:$G$500,MATCH("FULL IN",DATA!$F$1:$G$1,0),0),$E538)</f>
        <v/>
      </c>
      <c r="F555" s="2" t="str">
        <f t="shared" si="97"/>
        <v/>
      </c>
      <c r="G555" s="2" t="str">
        <f>IFERROR(VLOOKUP(E555,[1]FINAL!$A$2:$M$699,MATCH("Team",[1]FINAL!$A$1:$K$1,0),0),"")</f>
        <v/>
      </c>
      <c r="I555" s="4" t="str">
        <f>IFERROR(VLOOKUP($A555&amp;$E538,DATA!$F$1:$H$500,MATCH("FULL OUT",DATA!$F$1:$H$1,0),0),"")</f>
        <v/>
      </c>
    </row>
    <row r="556" spans="1:9" x14ac:dyDescent="0.25">
      <c r="A556" s="6" t="str">
        <f t="shared" si="96"/>
        <v>GW33</v>
      </c>
      <c r="B556" s="7">
        <v>8</v>
      </c>
      <c r="C556" s="7" t="str">
        <f t="shared" si="95"/>
        <v>GW33-8</v>
      </c>
      <c r="D556" s="1" t="str">
        <f>IFERROR(VLOOKUP(E556,[1]FINAL!$A$2:$J$699,MATCH("Pos",[1]FINAL!$A$1:$J$1,0),0),"")</f>
        <v/>
      </c>
      <c r="E556" s="4" t="str">
        <f>IFERROR(VLOOKUP($A556&amp;$E539,DATA!$F$1:$G$500,MATCH("FULL IN",DATA!$F$1:$G$1,0),0),$E539)</f>
        <v/>
      </c>
      <c r="F556" s="2" t="str">
        <f t="shared" si="97"/>
        <v/>
      </c>
      <c r="G556" s="2" t="str">
        <f>IFERROR(VLOOKUP(E556,[1]FINAL!$A$2:$M$699,MATCH("Team",[1]FINAL!$A$1:$K$1,0),0),"")</f>
        <v/>
      </c>
      <c r="I556" s="4" t="str">
        <f>IFERROR(VLOOKUP($A556&amp;$E539,DATA!$F$1:$H$500,MATCH("FULL OUT",DATA!$F$1:$H$1,0),0),"")</f>
        <v/>
      </c>
    </row>
    <row r="557" spans="1:9" x14ac:dyDescent="0.25">
      <c r="A557" s="6" t="str">
        <f t="shared" si="96"/>
        <v>GW33</v>
      </c>
      <c r="B557" s="7">
        <v>9</v>
      </c>
      <c r="C557" s="7" t="str">
        <f t="shared" si="95"/>
        <v>GW33-9</v>
      </c>
      <c r="D557" s="1" t="str">
        <f>IFERROR(VLOOKUP(E557,[1]FINAL!$A$2:$J$699,MATCH("Pos",[1]FINAL!$A$1:$J$1,0),0),"")</f>
        <v/>
      </c>
      <c r="E557" s="4" t="str">
        <f>IFERROR(VLOOKUP($A557&amp;$E540,DATA!$F$1:$G$500,MATCH("FULL IN",DATA!$F$1:$G$1,0),0),$E540)</f>
        <v/>
      </c>
      <c r="F557" s="2" t="str">
        <f t="shared" si="97"/>
        <v/>
      </c>
      <c r="G557" s="2" t="str">
        <f>IFERROR(VLOOKUP(E557,[1]FINAL!$A$2:$M$699,MATCH("Team",[1]FINAL!$A$1:$K$1,0),0),"")</f>
        <v/>
      </c>
      <c r="I557" s="4" t="str">
        <f>IFERROR(VLOOKUP($A557&amp;$E540,DATA!$F$1:$H$500,MATCH("FULL OUT",DATA!$F$1:$H$1,0),0),"")</f>
        <v/>
      </c>
    </row>
    <row r="558" spans="1:9" x14ac:dyDescent="0.25">
      <c r="A558" s="6" t="str">
        <f t="shared" si="96"/>
        <v>GW33</v>
      </c>
      <c r="B558" s="7">
        <v>10</v>
      </c>
      <c r="C558" s="7" t="str">
        <f t="shared" si="95"/>
        <v>GW33-10</v>
      </c>
      <c r="D558" s="1" t="str">
        <f>IFERROR(VLOOKUP(E558,[1]FINAL!$A$2:$J$699,MATCH("Pos",[1]FINAL!$A$1:$J$1,0),0),"")</f>
        <v/>
      </c>
      <c r="E558" s="4" t="str">
        <f>IFERROR(VLOOKUP($A558&amp;$E541,DATA!$F$1:$G$500,MATCH("FULL IN",DATA!$F$1:$G$1,0),0),$E541)</f>
        <v/>
      </c>
      <c r="F558" s="2" t="str">
        <f t="shared" si="97"/>
        <v/>
      </c>
      <c r="G558" s="2" t="str">
        <f>IFERROR(VLOOKUP(E558,[1]FINAL!$A$2:$M$699,MATCH("Team",[1]FINAL!$A$1:$K$1,0),0),"")</f>
        <v/>
      </c>
      <c r="I558" s="4" t="str">
        <f>IFERROR(VLOOKUP($A558&amp;$E541,DATA!$F$1:$H$500,MATCH("FULL OUT",DATA!$F$1:$H$1,0),0),"")</f>
        <v/>
      </c>
    </row>
    <row r="559" spans="1:9" x14ac:dyDescent="0.25">
      <c r="A559" s="6" t="str">
        <f t="shared" si="96"/>
        <v>GW33</v>
      </c>
      <c r="B559" s="7">
        <v>11</v>
      </c>
      <c r="C559" s="7" t="str">
        <f t="shared" si="95"/>
        <v>GW33-11</v>
      </c>
      <c r="D559" s="1" t="str">
        <f>IFERROR(VLOOKUP(E559,[1]FINAL!$A$2:$J$699,MATCH("Pos",[1]FINAL!$A$1:$J$1,0),0),"")</f>
        <v/>
      </c>
      <c r="E559" s="4" t="str">
        <f>IFERROR(VLOOKUP($A559&amp;$E542,DATA!$F$1:$G$500,MATCH("FULL IN",DATA!$F$1:$G$1,0),0),$E542)</f>
        <v/>
      </c>
      <c r="F559" s="2" t="str">
        <f t="shared" si="97"/>
        <v/>
      </c>
      <c r="G559" s="2" t="str">
        <f>IFERROR(VLOOKUP(E559,[1]FINAL!$A$2:$M$699,MATCH("Team",[1]FINAL!$A$1:$K$1,0),0),"")</f>
        <v/>
      </c>
      <c r="I559" s="4" t="str">
        <f>IFERROR(VLOOKUP($A559&amp;$E542,DATA!$F$1:$H$500,MATCH("FULL OUT",DATA!$F$1:$H$1,0),0),"")</f>
        <v/>
      </c>
    </row>
    <row r="560" spans="1:9" x14ac:dyDescent="0.25">
      <c r="A560" s="6" t="str">
        <f t="shared" si="96"/>
        <v>GW33</v>
      </c>
      <c r="B560" s="7">
        <v>12</v>
      </c>
      <c r="C560" s="7" t="str">
        <f t="shared" si="95"/>
        <v>GW33-12</v>
      </c>
      <c r="D560" s="1" t="str">
        <f>IFERROR(VLOOKUP(E560,[1]FINAL!$A$2:$J$699,MATCH("Pos",[1]FINAL!$A$1:$J$1,0),0),"")</f>
        <v/>
      </c>
      <c r="E560" s="4" t="str">
        <f>IFERROR(VLOOKUP($A560&amp;$E543,DATA!$F$1:$G$500,MATCH("FULL IN",DATA!$F$1:$G$1,0),0),$E543)</f>
        <v/>
      </c>
      <c r="F560" s="2" t="str">
        <f t="shared" si="97"/>
        <v/>
      </c>
      <c r="G560" s="2" t="str">
        <f>IFERROR(VLOOKUP(E560,[1]FINAL!$A$2:$M$699,MATCH("Team",[1]FINAL!$A$1:$K$1,0),0),"")</f>
        <v/>
      </c>
      <c r="I560" s="4" t="str">
        <f>IFERROR(VLOOKUP($A560&amp;$E543,DATA!$F$1:$H$500,MATCH("FULL OUT",DATA!$F$1:$H$1,0),0),"")</f>
        <v/>
      </c>
    </row>
    <row r="561" spans="1:9" x14ac:dyDescent="0.25">
      <c r="A561" s="6" t="str">
        <f t="shared" si="96"/>
        <v>GW33</v>
      </c>
      <c r="B561" s="7">
        <v>13</v>
      </c>
      <c r="C561" s="7" t="str">
        <f t="shared" si="95"/>
        <v>GW33-13</v>
      </c>
      <c r="D561" s="1" t="str">
        <f>IFERROR(VLOOKUP(E561,[1]FINAL!$A$2:$J$699,MATCH("Pos",[1]FINAL!$A$1:$J$1,0),0),"")</f>
        <v/>
      </c>
      <c r="E561" s="4" t="str">
        <f>IFERROR(VLOOKUP($A561&amp;$E544,DATA!$F$1:$G$500,MATCH("FULL IN",DATA!$F$1:$G$1,0),0),$E544)</f>
        <v/>
      </c>
      <c r="F561" s="2" t="str">
        <f t="shared" si="97"/>
        <v/>
      </c>
      <c r="G561" s="2" t="str">
        <f>IFERROR(VLOOKUP(E561,[1]FINAL!$A$2:$M$699,MATCH("Team",[1]FINAL!$A$1:$K$1,0),0),"")</f>
        <v/>
      </c>
      <c r="I561" s="4" t="str">
        <f>IFERROR(VLOOKUP($A561&amp;$E544,DATA!$F$1:$H$500,MATCH("FULL OUT",DATA!$F$1:$H$1,0),0),"")</f>
        <v/>
      </c>
    </row>
    <row r="562" spans="1:9" x14ac:dyDescent="0.25">
      <c r="A562" s="6" t="str">
        <f t="shared" si="96"/>
        <v>GW33</v>
      </c>
      <c r="B562" s="7">
        <v>14</v>
      </c>
      <c r="C562" s="7" t="str">
        <f t="shared" si="95"/>
        <v>GW33-14</v>
      </c>
      <c r="D562" s="1" t="str">
        <f>IFERROR(VLOOKUP(E562,[1]FINAL!$A$2:$J$699,MATCH("Pos",[1]FINAL!$A$1:$J$1,0),0),"")</f>
        <v/>
      </c>
      <c r="E562" s="4" t="str">
        <f>IFERROR(VLOOKUP($A562&amp;$E545,DATA!$F$1:$G$500,MATCH("FULL IN",DATA!$F$1:$G$1,0),0),$E545)</f>
        <v/>
      </c>
      <c r="F562" s="2" t="str">
        <f t="shared" si="97"/>
        <v/>
      </c>
      <c r="G562" s="2" t="str">
        <f>IFERROR(VLOOKUP(E562,[1]FINAL!$A$2:$M$699,MATCH("Team",[1]FINAL!$A$1:$K$1,0),0),"")</f>
        <v/>
      </c>
      <c r="I562" s="4" t="str">
        <f>IFERROR(VLOOKUP($A562&amp;$E545,DATA!$F$1:$H$500,MATCH("FULL OUT",DATA!$F$1:$H$1,0),0),"")</f>
        <v/>
      </c>
    </row>
    <row r="563" spans="1:9" x14ac:dyDescent="0.25">
      <c r="A563" s="6" t="str">
        <f t="shared" si="96"/>
        <v>GW33</v>
      </c>
      <c r="B563" s="7">
        <v>15</v>
      </c>
      <c r="C563" s="7" t="str">
        <f t="shared" si="95"/>
        <v>GW33-15</v>
      </c>
      <c r="D563" s="1" t="str">
        <f>IFERROR(VLOOKUP(E563,[1]FINAL!$A$2:$J$699,MATCH("Pos",[1]FINAL!$A$1:$J$1,0),0),"")</f>
        <v/>
      </c>
      <c r="E563" s="4" t="str">
        <f>IFERROR(VLOOKUP($A563&amp;$E546,DATA!$F$1:$G$500,MATCH("FULL IN",DATA!$F$1:$G$1,0),0),$E546)</f>
        <v/>
      </c>
      <c r="F563" s="2" t="str">
        <f t="shared" si="97"/>
        <v/>
      </c>
      <c r="G563" s="2" t="str">
        <f>IFERROR(VLOOKUP(E563,[1]FINAL!$A$2:$M$699,MATCH("Team",[1]FINAL!$A$1:$K$1,0),0),"")</f>
        <v/>
      </c>
      <c r="I563" s="4" t="str">
        <f>IFERROR(VLOOKUP($A563&amp;$E546,DATA!$F$1:$H$500,MATCH("FULL OUT",DATA!$F$1:$H$1,0),0),"")</f>
        <v/>
      </c>
    </row>
    <row r="566" spans="1:9" x14ac:dyDescent="0.25">
      <c r="A566" s="6" t="s">
        <v>36</v>
      </c>
      <c r="B566" s="7">
        <v>1</v>
      </c>
      <c r="C566" s="7" t="str">
        <f>A566&amp;-B566</f>
        <v>GW34-1</v>
      </c>
      <c r="D566" s="1" t="str">
        <f>IFERROR(VLOOKUP(E566,[1]FINAL!$A$2:$J$699,MATCH("Pos",[1]FINAL!$A$1:$J$1,0),0),"")</f>
        <v/>
      </c>
      <c r="E566" s="4" t="str">
        <f>IFERROR(VLOOKUP($A566&amp;$E549,DATA!$F$1:$G$500,MATCH("FULL IN",DATA!$F$1:$G$1,0),0),$E549)</f>
        <v>Player Name</v>
      </c>
      <c r="G566" s="2" t="str">
        <f>IFERROR(VLOOKUP(E566,[1]FINAL!$A$2:$M$699,MATCH("Team",[1]FINAL!$A$1:$K$1,0),0),"")</f>
        <v/>
      </c>
      <c r="I566" s="4" t="str">
        <f>IFERROR(VLOOKUP($A566&amp;$E549,DATA!$F$1:$H$500,MATCH("FULL OUT",DATA!$F$1:$H$1,0),0),"")</f>
        <v/>
      </c>
    </row>
    <row r="567" spans="1:9" x14ac:dyDescent="0.25">
      <c r="A567" s="6" t="str">
        <f>A566</f>
        <v>GW34</v>
      </c>
      <c r="B567" s="7">
        <v>2</v>
      </c>
      <c r="C567" s="7" t="str">
        <f t="shared" ref="C567:C580" si="98">A567&amp;-B567</f>
        <v>GW34-2</v>
      </c>
      <c r="D567" s="1" t="str">
        <f>IFERROR(VLOOKUP(E567,[1]FINAL!$A$2:$J$699,MATCH("Pos",[1]FINAL!$A$1:$J$1,0),0),"")</f>
        <v/>
      </c>
      <c r="E567" s="4" t="str">
        <f>IFERROR(VLOOKUP($A567&amp;$E550,DATA!$F$1:$G$500,MATCH("FULL IN",DATA!$F$1:$G$1,0),0),$E550)</f>
        <v/>
      </c>
      <c r="F567" s="2" t="str">
        <f>IF(Z567="","","IN")</f>
        <v/>
      </c>
      <c r="G567" s="2" t="str">
        <f>IFERROR(VLOOKUP(E567,[1]FINAL!$A$2:$M$699,MATCH("Team",[1]FINAL!$A$1:$K$1,0),0),"")</f>
        <v/>
      </c>
      <c r="I567" s="4" t="str">
        <f>IFERROR(VLOOKUP($A567&amp;$E550,DATA!$F$1:$H$500,MATCH("FULL OUT",DATA!$F$1:$H$1,0),0),"")</f>
        <v/>
      </c>
    </row>
    <row r="568" spans="1:9" x14ac:dyDescent="0.25">
      <c r="A568" s="6" t="str">
        <f t="shared" ref="A568:A580" si="99">A567</f>
        <v>GW34</v>
      </c>
      <c r="B568" s="7">
        <v>3</v>
      </c>
      <c r="C568" s="7" t="str">
        <f t="shared" si="98"/>
        <v>GW34-3</v>
      </c>
      <c r="D568" s="1" t="str">
        <f>IFERROR(VLOOKUP(E568,[1]FINAL!$A$2:$J$699,MATCH("Pos",[1]FINAL!$A$1:$J$1,0),0),"")</f>
        <v/>
      </c>
      <c r="E568" s="4" t="str">
        <f>IFERROR(VLOOKUP($A568&amp;$E551,DATA!$F$1:$G$500,MATCH("FULL IN",DATA!$F$1:$G$1,0),0),$E551)</f>
        <v/>
      </c>
      <c r="F568" s="2" t="str">
        <f t="shared" ref="F568:F580" si="100">IF(Z568="","","IN")</f>
        <v/>
      </c>
      <c r="G568" s="2" t="str">
        <f>IFERROR(VLOOKUP(E568,[1]FINAL!$A$2:$M$699,MATCH("Team",[1]FINAL!$A$1:$K$1,0),0),"")</f>
        <v/>
      </c>
      <c r="I568" s="4" t="str">
        <f>IFERROR(VLOOKUP($A568&amp;$E551,DATA!$F$1:$H$500,MATCH("FULL OUT",DATA!$F$1:$H$1,0),0),"")</f>
        <v/>
      </c>
    </row>
    <row r="569" spans="1:9" x14ac:dyDescent="0.25">
      <c r="A569" s="6" t="str">
        <f t="shared" si="99"/>
        <v>GW34</v>
      </c>
      <c r="B569" s="7">
        <v>4</v>
      </c>
      <c r="C569" s="7" t="str">
        <f t="shared" si="98"/>
        <v>GW34-4</v>
      </c>
      <c r="D569" s="1" t="str">
        <f>IFERROR(VLOOKUP(E569,[1]FINAL!$A$2:$J$699,MATCH("Pos",[1]FINAL!$A$1:$J$1,0),0),"")</f>
        <v/>
      </c>
      <c r="E569" s="4" t="str">
        <f>IFERROR(VLOOKUP($A569&amp;$E552,DATA!$F$1:$G$500,MATCH("FULL IN",DATA!$F$1:$G$1,0),0),$E552)</f>
        <v/>
      </c>
      <c r="F569" s="2" t="str">
        <f t="shared" si="100"/>
        <v/>
      </c>
      <c r="G569" s="2" t="str">
        <f>IFERROR(VLOOKUP(E569,[1]FINAL!$A$2:$M$699,MATCH("Team",[1]FINAL!$A$1:$K$1,0),0),"")</f>
        <v/>
      </c>
      <c r="I569" s="4" t="str">
        <f>IFERROR(VLOOKUP($A569&amp;$E552,DATA!$F$1:$H$500,MATCH("FULL OUT",DATA!$F$1:$H$1,0),0),"")</f>
        <v/>
      </c>
    </row>
    <row r="570" spans="1:9" x14ac:dyDescent="0.25">
      <c r="A570" s="6" t="str">
        <f t="shared" si="99"/>
        <v>GW34</v>
      </c>
      <c r="B570" s="7">
        <v>5</v>
      </c>
      <c r="C570" s="7" t="str">
        <f t="shared" si="98"/>
        <v>GW34-5</v>
      </c>
      <c r="D570" s="1" t="str">
        <f>IFERROR(VLOOKUP(E570,[1]FINAL!$A$2:$J$699,MATCH("Pos",[1]FINAL!$A$1:$J$1,0),0),"")</f>
        <v/>
      </c>
      <c r="E570" s="4" t="str">
        <f>IFERROR(VLOOKUP($A570&amp;$E553,DATA!$F$1:$G$500,MATCH("FULL IN",DATA!$F$1:$G$1,0),0),$E553)</f>
        <v/>
      </c>
      <c r="F570" s="2" t="str">
        <f t="shared" si="100"/>
        <v/>
      </c>
      <c r="G570" s="2" t="str">
        <f>IFERROR(VLOOKUP(E570,[1]FINAL!$A$2:$M$699,MATCH("Team",[1]FINAL!$A$1:$K$1,0),0),"")</f>
        <v/>
      </c>
      <c r="I570" s="4" t="str">
        <f>IFERROR(VLOOKUP($A570&amp;$E553,DATA!$F$1:$H$500,MATCH("FULL OUT",DATA!$F$1:$H$1,0),0),"")</f>
        <v/>
      </c>
    </row>
    <row r="571" spans="1:9" x14ac:dyDescent="0.25">
      <c r="A571" s="6" t="str">
        <f t="shared" si="99"/>
        <v>GW34</v>
      </c>
      <c r="B571" s="7">
        <v>6</v>
      </c>
      <c r="C571" s="7" t="str">
        <f t="shared" si="98"/>
        <v>GW34-6</v>
      </c>
      <c r="D571" s="1" t="str">
        <f>IFERROR(VLOOKUP(E571,[1]FINAL!$A$2:$J$699,MATCH("Pos",[1]FINAL!$A$1:$J$1,0),0),"")</f>
        <v/>
      </c>
      <c r="E571" s="4" t="str">
        <f>IFERROR(VLOOKUP($A571&amp;$E554,DATA!$F$1:$G$500,MATCH("FULL IN",DATA!$F$1:$G$1,0),0),$E554)</f>
        <v/>
      </c>
      <c r="F571" s="2" t="str">
        <f t="shared" si="100"/>
        <v/>
      </c>
      <c r="G571" s="2" t="str">
        <f>IFERROR(VLOOKUP(E571,[1]FINAL!$A$2:$M$699,MATCH("Team",[1]FINAL!$A$1:$K$1,0),0),"")</f>
        <v/>
      </c>
      <c r="I571" s="4" t="str">
        <f>IFERROR(VLOOKUP($A571&amp;$E554,DATA!$F$1:$H$500,MATCH("FULL OUT",DATA!$F$1:$H$1,0),0),"")</f>
        <v/>
      </c>
    </row>
    <row r="572" spans="1:9" x14ac:dyDescent="0.25">
      <c r="A572" s="6" t="str">
        <f t="shared" si="99"/>
        <v>GW34</v>
      </c>
      <c r="B572" s="7">
        <v>7</v>
      </c>
      <c r="C572" s="7" t="str">
        <f t="shared" si="98"/>
        <v>GW34-7</v>
      </c>
      <c r="D572" s="1" t="str">
        <f>IFERROR(VLOOKUP(E572,[1]FINAL!$A$2:$J$699,MATCH("Pos",[1]FINAL!$A$1:$J$1,0),0),"")</f>
        <v/>
      </c>
      <c r="E572" s="4" t="str">
        <f>IFERROR(VLOOKUP($A572&amp;$E555,DATA!$F$1:$G$500,MATCH("FULL IN",DATA!$F$1:$G$1,0),0),$E555)</f>
        <v/>
      </c>
      <c r="F572" s="2" t="str">
        <f t="shared" si="100"/>
        <v/>
      </c>
      <c r="G572" s="2" t="str">
        <f>IFERROR(VLOOKUP(E572,[1]FINAL!$A$2:$M$699,MATCH("Team",[1]FINAL!$A$1:$K$1,0),0),"")</f>
        <v/>
      </c>
      <c r="I572" s="4" t="str">
        <f>IFERROR(VLOOKUP($A572&amp;$E555,DATA!$F$1:$H$500,MATCH("FULL OUT",DATA!$F$1:$H$1,0),0),"")</f>
        <v/>
      </c>
    </row>
    <row r="573" spans="1:9" x14ac:dyDescent="0.25">
      <c r="A573" s="6" t="str">
        <f t="shared" si="99"/>
        <v>GW34</v>
      </c>
      <c r="B573" s="7">
        <v>8</v>
      </c>
      <c r="C573" s="7" t="str">
        <f t="shared" si="98"/>
        <v>GW34-8</v>
      </c>
      <c r="D573" s="1" t="str">
        <f>IFERROR(VLOOKUP(E573,[1]FINAL!$A$2:$J$699,MATCH("Pos",[1]FINAL!$A$1:$J$1,0),0),"")</f>
        <v/>
      </c>
      <c r="E573" s="4" t="str">
        <f>IFERROR(VLOOKUP($A573&amp;$E556,DATA!$F$1:$G$500,MATCH("FULL IN",DATA!$F$1:$G$1,0),0),$E556)</f>
        <v/>
      </c>
      <c r="F573" s="2" t="str">
        <f t="shared" si="100"/>
        <v/>
      </c>
      <c r="G573" s="2" t="str">
        <f>IFERROR(VLOOKUP(E573,[1]FINAL!$A$2:$M$699,MATCH("Team",[1]FINAL!$A$1:$K$1,0),0),"")</f>
        <v/>
      </c>
      <c r="I573" s="4" t="str">
        <f>IFERROR(VLOOKUP($A573&amp;$E556,DATA!$F$1:$H$500,MATCH("FULL OUT",DATA!$F$1:$H$1,0),0),"")</f>
        <v/>
      </c>
    </row>
    <row r="574" spans="1:9" x14ac:dyDescent="0.25">
      <c r="A574" s="6" t="str">
        <f t="shared" si="99"/>
        <v>GW34</v>
      </c>
      <c r="B574" s="7">
        <v>9</v>
      </c>
      <c r="C574" s="7" t="str">
        <f t="shared" si="98"/>
        <v>GW34-9</v>
      </c>
      <c r="D574" s="1" t="str">
        <f>IFERROR(VLOOKUP(E574,[1]FINAL!$A$2:$J$699,MATCH("Pos",[1]FINAL!$A$1:$J$1,0),0),"")</f>
        <v/>
      </c>
      <c r="E574" s="4" t="str">
        <f>IFERROR(VLOOKUP($A574&amp;$E557,DATA!$F$1:$G$500,MATCH("FULL IN",DATA!$F$1:$G$1,0),0),$E557)</f>
        <v/>
      </c>
      <c r="F574" s="2" t="str">
        <f t="shared" si="100"/>
        <v/>
      </c>
      <c r="G574" s="2" t="str">
        <f>IFERROR(VLOOKUP(E574,[1]FINAL!$A$2:$M$699,MATCH("Team",[1]FINAL!$A$1:$K$1,0),0),"")</f>
        <v/>
      </c>
      <c r="I574" s="4" t="str">
        <f>IFERROR(VLOOKUP($A574&amp;$E557,DATA!$F$1:$H$500,MATCH("FULL OUT",DATA!$F$1:$H$1,0),0),"")</f>
        <v/>
      </c>
    </row>
    <row r="575" spans="1:9" x14ac:dyDescent="0.25">
      <c r="A575" s="6" t="str">
        <f t="shared" si="99"/>
        <v>GW34</v>
      </c>
      <c r="B575" s="7">
        <v>10</v>
      </c>
      <c r="C575" s="7" t="str">
        <f t="shared" si="98"/>
        <v>GW34-10</v>
      </c>
      <c r="D575" s="1" t="str">
        <f>IFERROR(VLOOKUP(E575,[1]FINAL!$A$2:$J$699,MATCH("Pos",[1]FINAL!$A$1:$J$1,0),0),"")</f>
        <v/>
      </c>
      <c r="E575" s="4" t="str">
        <f>IFERROR(VLOOKUP($A575&amp;$E558,DATA!$F$1:$G$500,MATCH("FULL IN",DATA!$F$1:$G$1,0),0),$E558)</f>
        <v/>
      </c>
      <c r="F575" s="2" t="str">
        <f t="shared" si="100"/>
        <v/>
      </c>
      <c r="G575" s="2" t="str">
        <f>IFERROR(VLOOKUP(E575,[1]FINAL!$A$2:$M$699,MATCH("Team",[1]FINAL!$A$1:$K$1,0),0),"")</f>
        <v/>
      </c>
      <c r="I575" s="4" t="str">
        <f>IFERROR(VLOOKUP($A575&amp;$E558,DATA!$F$1:$H$500,MATCH("FULL OUT",DATA!$F$1:$H$1,0),0),"")</f>
        <v/>
      </c>
    </row>
    <row r="576" spans="1:9" x14ac:dyDescent="0.25">
      <c r="A576" s="6" t="str">
        <f t="shared" si="99"/>
        <v>GW34</v>
      </c>
      <c r="B576" s="7">
        <v>11</v>
      </c>
      <c r="C576" s="7" t="str">
        <f t="shared" si="98"/>
        <v>GW34-11</v>
      </c>
      <c r="D576" s="1" t="str">
        <f>IFERROR(VLOOKUP(E576,[1]FINAL!$A$2:$J$699,MATCH("Pos",[1]FINAL!$A$1:$J$1,0),0),"")</f>
        <v/>
      </c>
      <c r="E576" s="4" t="str">
        <f>IFERROR(VLOOKUP($A576&amp;$E559,DATA!$F$1:$G$500,MATCH("FULL IN",DATA!$F$1:$G$1,0),0),$E559)</f>
        <v/>
      </c>
      <c r="F576" s="2" t="str">
        <f t="shared" si="100"/>
        <v/>
      </c>
      <c r="G576" s="2" t="str">
        <f>IFERROR(VLOOKUP(E576,[1]FINAL!$A$2:$M$699,MATCH("Team",[1]FINAL!$A$1:$K$1,0),0),"")</f>
        <v/>
      </c>
      <c r="I576" s="4" t="str">
        <f>IFERROR(VLOOKUP($A576&amp;$E559,DATA!$F$1:$H$500,MATCH("FULL OUT",DATA!$F$1:$H$1,0),0),"")</f>
        <v/>
      </c>
    </row>
    <row r="577" spans="1:9" x14ac:dyDescent="0.25">
      <c r="A577" s="6" t="str">
        <f t="shared" si="99"/>
        <v>GW34</v>
      </c>
      <c r="B577" s="7">
        <v>12</v>
      </c>
      <c r="C577" s="7" t="str">
        <f t="shared" si="98"/>
        <v>GW34-12</v>
      </c>
      <c r="D577" s="1" t="str">
        <f>IFERROR(VLOOKUP(E577,[1]FINAL!$A$2:$J$699,MATCH("Pos",[1]FINAL!$A$1:$J$1,0),0),"")</f>
        <v/>
      </c>
      <c r="E577" s="4" t="str">
        <f>IFERROR(VLOOKUP($A577&amp;$E560,DATA!$F$1:$G$500,MATCH("FULL IN",DATA!$F$1:$G$1,0),0),$E560)</f>
        <v/>
      </c>
      <c r="F577" s="2" t="str">
        <f t="shared" si="100"/>
        <v/>
      </c>
      <c r="G577" s="2" t="str">
        <f>IFERROR(VLOOKUP(E577,[1]FINAL!$A$2:$M$699,MATCH("Team",[1]FINAL!$A$1:$K$1,0),0),"")</f>
        <v/>
      </c>
      <c r="I577" s="4" t="str">
        <f>IFERROR(VLOOKUP($A577&amp;$E560,DATA!$F$1:$H$500,MATCH("FULL OUT",DATA!$F$1:$H$1,0),0),"")</f>
        <v/>
      </c>
    </row>
    <row r="578" spans="1:9" x14ac:dyDescent="0.25">
      <c r="A578" s="6" t="str">
        <f t="shared" si="99"/>
        <v>GW34</v>
      </c>
      <c r="B578" s="7">
        <v>13</v>
      </c>
      <c r="C578" s="7" t="str">
        <f t="shared" si="98"/>
        <v>GW34-13</v>
      </c>
      <c r="D578" s="1" t="str">
        <f>IFERROR(VLOOKUP(E578,[1]FINAL!$A$2:$J$699,MATCH("Pos",[1]FINAL!$A$1:$J$1,0),0),"")</f>
        <v/>
      </c>
      <c r="E578" s="4" t="str">
        <f>IFERROR(VLOOKUP($A578&amp;$E561,DATA!$F$1:$G$500,MATCH("FULL IN",DATA!$F$1:$G$1,0),0),$E561)</f>
        <v/>
      </c>
      <c r="F578" s="2" t="str">
        <f t="shared" si="100"/>
        <v/>
      </c>
      <c r="G578" s="2" t="str">
        <f>IFERROR(VLOOKUP(E578,[1]FINAL!$A$2:$M$699,MATCH("Team",[1]FINAL!$A$1:$K$1,0),0),"")</f>
        <v/>
      </c>
      <c r="I578" s="4" t="str">
        <f>IFERROR(VLOOKUP($A578&amp;$E561,DATA!$F$1:$H$500,MATCH("FULL OUT",DATA!$F$1:$H$1,0),0),"")</f>
        <v/>
      </c>
    </row>
    <row r="579" spans="1:9" x14ac:dyDescent="0.25">
      <c r="A579" s="6" t="str">
        <f t="shared" si="99"/>
        <v>GW34</v>
      </c>
      <c r="B579" s="7">
        <v>14</v>
      </c>
      <c r="C579" s="7" t="str">
        <f t="shared" si="98"/>
        <v>GW34-14</v>
      </c>
      <c r="D579" s="1" t="str">
        <f>IFERROR(VLOOKUP(E579,[1]FINAL!$A$2:$J$699,MATCH("Pos",[1]FINAL!$A$1:$J$1,0),0),"")</f>
        <v/>
      </c>
      <c r="E579" s="4" t="str">
        <f>IFERROR(VLOOKUP($A579&amp;$E562,DATA!$F$1:$G$500,MATCH("FULL IN",DATA!$F$1:$G$1,0),0),$E562)</f>
        <v/>
      </c>
      <c r="F579" s="2" t="str">
        <f t="shared" si="100"/>
        <v/>
      </c>
      <c r="G579" s="2" t="str">
        <f>IFERROR(VLOOKUP(E579,[1]FINAL!$A$2:$M$699,MATCH("Team",[1]FINAL!$A$1:$K$1,0),0),"")</f>
        <v/>
      </c>
      <c r="I579" s="4" t="str">
        <f>IFERROR(VLOOKUP($A579&amp;$E562,DATA!$F$1:$H$500,MATCH("FULL OUT",DATA!$F$1:$H$1,0),0),"")</f>
        <v/>
      </c>
    </row>
    <row r="580" spans="1:9" x14ac:dyDescent="0.25">
      <c r="A580" s="6" t="str">
        <f t="shared" si="99"/>
        <v>GW34</v>
      </c>
      <c r="B580" s="7">
        <v>15</v>
      </c>
      <c r="C580" s="7" t="str">
        <f t="shared" si="98"/>
        <v>GW34-15</v>
      </c>
      <c r="D580" s="1" t="str">
        <f>IFERROR(VLOOKUP(E580,[1]FINAL!$A$2:$J$699,MATCH("Pos",[1]FINAL!$A$1:$J$1,0),0),"")</f>
        <v/>
      </c>
      <c r="E580" s="4" t="str">
        <f>IFERROR(VLOOKUP($A580&amp;$E563,DATA!$F$1:$G$500,MATCH("FULL IN",DATA!$F$1:$G$1,0),0),$E563)</f>
        <v/>
      </c>
      <c r="F580" s="2" t="str">
        <f t="shared" si="100"/>
        <v/>
      </c>
      <c r="G580" s="2" t="str">
        <f>IFERROR(VLOOKUP(E580,[1]FINAL!$A$2:$M$699,MATCH("Team",[1]FINAL!$A$1:$K$1,0),0),"")</f>
        <v/>
      </c>
      <c r="I580" s="4" t="str">
        <f>IFERROR(VLOOKUP($A580&amp;$E563,DATA!$F$1:$H$500,MATCH("FULL OUT",DATA!$F$1:$H$1,0),0),"")</f>
        <v/>
      </c>
    </row>
    <row r="583" spans="1:9" x14ac:dyDescent="0.25">
      <c r="A583" s="6" t="s">
        <v>37</v>
      </c>
      <c r="B583" s="7">
        <v>1</v>
      </c>
      <c r="C583" s="7" t="str">
        <f>A583&amp;-B583</f>
        <v>GW35-1</v>
      </c>
      <c r="D583" s="1" t="str">
        <f>IFERROR(VLOOKUP(E583,[1]FINAL!$A$2:$J$699,MATCH("Pos",[1]FINAL!$A$1:$J$1,0),0),"")</f>
        <v/>
      </c>
      <c r="E583" s="4" t="str">
        <f>IFERROR(VLOOKUP($A583&amp;$E566,DATA!$F$1:$G$500,MATCH("FULL IN",DATA!$F$1:$G$1,0),0),$E566)</f>
        <v>Player Name</v>
      </c>
      <c r="G583" s="2" t="str">
        <f>IFERROR(VLOOKUP(E583,[1]FINAL!$A$2:$M$699,MATCH("Team",[1]FINAL!$A$1:$K$1,0),0),"")</f>
        <v/>
      </c>
      <c r="I583" s="4" t="str">
        <f>IFERROR(VLOOKUP($A583&amp;$E566,DATA!$F$1:$H$500,MATCH("FULL OUT",DATA!$F$1:$H$1,0),0),"")</f>
        <v/>
      </c>
    </row>
    <row r="584" spans="1:9" x14ac:dyDescent="0.25">
      <c r="A584" s="6" t="str">
        <f>A583</f>
        <v>GW35</v>
      </c>
      <c r="B584" s="7">
        <v>2</v>
      </c>
      <c r="C584" s="7" t="str">
        <f t="shared" ref="C584:C597" si="101">A584&amp;-B584</f>
        <v>GW35-2</v>
      </c>
      <c r="D584" s="1" t="str">
        <f>IFERROR(VLOOKUP(E584,[1]FINAL!$A$2:$J$699,MATCH("Pos",[1]FINAL!$A$1:$J$1,0),0),"")</f>
        <v/>
      </c>
      <c r="E584" s="4" t="str">
        <f>IFERROR(VLOOKUP($A584&amp;$E567,DATA!$F$1:$G$500,MATCH("FULL IN",DATA!$F$1:$G$1,0),0),$E567)</f>
        <v/>
      </c>
      <c r="F584" s="2" t="str">
        <f>IF(Z584="","","IN")</f>
        <v/>
      </c>
      <c r="G584" s="2" t="str">
        <f>IFERROR(VLOOKUP(E584,[1]FINAL!$A$2:$M$699,MATCH("Team",[1]FINAL!$A$1:$K$1,0),0),"")</f>
        <v/>
      </c>
      <c r="I584" s="4" t="str">
        <f>IFERROR(VLOOKUP($A584&amp;$E567,DATA!$F$1:$H$500,MATCH("FULL OUT",DATA!$F$1:$H$1,0),0),"")</f>
        <v/>
      </c>
    </row>
    <row r="585" spans="1:9" x14ac:dyDescent="0.25">
      <c r="A585" s="6" t="str">
        <f t="shared" ref="A585:A597" si="102">A584</f>
        <v>GW35</v>
      </c>
      <c r="B585" s="7">
        <v>3</v>
      </c>
      <c r="C585" s="7" t="str">
        <f t="shared" si="101"/>
        <v>GW35-3</v>
      </c>
      <c r="D585" s="1" t="str">
        <f>IFERROR(VLOOKUP(E585,[1]FINAL!$A$2:$J$699,MATCH("Pos",[1]FINAL!$A$1:$J$1,0),0),"")</f>
        <v/>
      </c>
      <c r="E585" s="4" t="str">
        <f>IFERROR(VLOOKUP($A585&amp;$E568,DATA!$F$1:$G$500,MATCH("FULL IN",DATA!$F$1:$G$1,0),0),$E568)</f>
        <v/>
      </c>
      <c r="F585" s="2" t="str">
        <f t="shared" ref="F585:F597" si="103">IF(Z585="","","IN")</f>
        <v/>
      </c>
      <c r="G585" s="2" t="str">
        <f>IFERROR(VLOOKUP(E585,[1]FINAL!$A$2:$M$699,MATCH("Team",[1]FINAL!$A$1:$K$1,0),0),"")</f>
        <v/>
      </c>
      <c r="I585" s="4" t="str">
        <f>IFERROR(VLOOKUP($A585&amp;$E568,DATA!$F$1:$H$500,MATCH("FULL OUT",DATA!$F$1:$H$1,0),0),"")</f>
        <v/>
      </c>
    </row>
    <row r="586" spans="1:9" x14ac:dyDescent="0.25">
      <c r="A586" s="6" t="str">
        <f t="shared" si="102"/>
        <v>GW35</v>
      </c>
      <c r="B586" s="7">
        <v>4</v>
      </c>
      <c r="C586" s="7" t="str">
        <f t="shared" si="101"/>
        <v>GW35-4</v>
      </c>
      <c r="D586" s="1" t="str">
        <f>IFERROR(VLOOKUP(E586,[1]FINAL!$A$2:$J$699,MATCH("Pos",[1]FINAL!$A$1:$J$1,0),0),"")</f>
        <v/>
      </c>
      <c r="E586" s="4" t="str">
        <f>IFERROR(VLOOKUP($A586&amp;$E569,DATA!$F$1:$G$500,MATCH("FULL IN",DATA!$F$1:$G$1,0),0),$E569)</f>
        <v/>
      </c>
      <c r="F586" s="2" t="str">
        <f t="shared" si="103"/>
        <v/>
      </c>
      <c r="G586" s="2" t="str">
        <f>IFERROR(VLOOKUP(E586,[1]FINAL!$A$2:$M$699,MATCH("Team",[1]FINAL!$A$1:$K$1,0),0),"")</f>
        <v/>
      </c>
      <c r="I586" s="4" t="str">
        <f>IFERROR(VLOOKUP($A586&amp;$E569,DATA!$F$1:$H$500,MATCH("FULL OUT",DATA!$F$1:$H$1,0),0),"")</f>
        <v/>
      </c>
    </row>
    <row r="587" spans="1:9" x14ac:dyDescent="0.25">
      <c r="A587" s="6" t="str">
        <f t="shared" si="102"/>
        <v>GW35</v>
      </c>
      <c r="B587" s="7">
        <v>5</v>
      </c>
      <c r="C587" s="7" t="str">
        <f t="shared" si="101"/>
        <v>GW35-5</v>
      </c>
      <c r="D587" s="1" t="str">
        <f>IFERROR(VLOOKUP(E587,[1]FINAL!$A$2:$J$699,MATCH("Pos",[1]FINAL!$A$1:$J$1,0),0),"")</f>
        <v/>
      </c>
      <c r="E587" s="4" t="str">
        <f>IFERROR(VLOOKUP($A587&amp;$E570,DATA!$F$1:$G$500,MATCH("FULL IN",DATA!$F$1:$G$1,0),0),$E570)</f>
        <v/>
      </c>
      <c r="F587" s="2" t="str">
        <f t="shared" si="103"/>
        <v/>
      </c>
      <c r="G587" s="2" t="str">
        <f>IFERROR(VLOOKUP(E587,[1]FINAL!$A$2:$M$699,MATCH("Team",[1]FINAL!$A$1:$K$1,0),0),"")</f>
        <v/>
      </c>
      <c r="I587" s="4" t="str">
        <f>IFERROR(VLOOKUP($A587&amp;$E570,DATA!$F$1:$H$500,MATCH("FULL OUT",DATA!$F$1:$H$1,0),0),"")</f>
        <v/>
      </c>
    </row>
    <row r="588" spans="1:9" x14ac:dyDescent="0.25">
      <c r="A588" s="6" t="str">
        <f t="shared" si="102"/>
        <v>GW35</v>
      </c>
      <c r="B588" s="7">
        <v>6</v>
      </c>
      <c r="C588" s="7" t="str">
        <f t="shared" si="101"/>
        <v>GW35-6</v>
      </c>
      <c r="D588" s="1" t="str">
        <f>IFERROR(VLOOKUP(E588,[1]FINAL!$A$2:$J$699,MATCH("Pos",[1]FINAL!$A$1:$J$1,0),0),"")</f>
        <v/>
      </c>
      <c r="E588" s="4" t="str">
        <f>IFERROR(VLOOKUP($A588&amp;$E571,DATA!$F$1:$G$500,MATCH("FULL IN",DATA!$F$1:$G$1,0),0),$E571)</f>
        <v/>
      </c>
      <c r="F588" s="2" t="str">
        <f t="shared" si="103"/>
        <v/>
      </c>
      <c r="G588" s="2" t="str">
        <f>IFERROR(VLOOKUP(E588,[1]FINAL!$A$2:$M$699,MATCH("Team",[1]FINAL!$A$1:$K$1,0),0),"")</f>
        <v/>
      </c>
      <c r="I588" s="4" t="str">
        <f>IFERROR(VLOOKUP($A588&amp;$E571,DATA!$F$1:$H$500,MATCH("FULL OUT",DATA!$F$1:$H$1,0),0),"")</f>
        <v/>
      </c>
    </row>
    <row r="589" spans="1:9" x14ac:dyDescent="0.25">
      <c r="A589" s="6" t="str">
        <f t="shared" si="102"/>
        <v>GW35</v>
      </c>
      <c r="B589" s="7">
        <v>7</v>
      </c>
      <c r="C589" s="7" t="str">
        <f t="shared" si="101"/>
        <v>GW35-7</v>
      </c>
      <c r="D589" s="1" t="str">
        <f>IFERROR(VLOOKUP(E589,[1]FINAL!$A$2:$J$699,MATCH("Pos",[1]FINAL!$A$1:$J$1,0),0),"")</f>
        <v/>
      </c>
      <c r="E589" s="4" t="str">
        <f>IFERROR(VLOOKUP($A589&amp;$E572,DATA!$F$1:$G$500,MATCH("FULL IN",DATA!$F$1:$G$1,0),0),$E572)</f>
        <v/>
      </c>
      <c r="F589" s="2" t="str">
        <f t="shared" si="103"/>
        <v/>
      </c>
      <c r="G589" s="2" t="str">
        <f>IFERROR(VLOOKUP(E589,[1]FINAL!$A$2:$M$699,MATCH("Team",[1]FINAL!$A$1:$K$1,0),0),"")</f>
        <v/>
      </c>
      <c r="I589" s="4" t="str">
        <f>IFERROR(VLOOKUP($A589&amp;$E572,DATA!$F$1:$H$500,MATCH("FULL OUT",DATA!$F$1:$H$1,0),0),"")</f>
        <v/>
      </c>
    </row>
    <row r="590" spans="1:9" x14ac:dyDescent="0.25">
      <c r="A590" s="6" t="str">
        <f t="shared" si="102"/>
        <v>GW35</v>
      </c>
      <c r="B590" s="7">
        <v>8</v>
      </c>
      <c r="C590" s="7" t="str">
        <f t="shared" si="101"/>
        <v>GW35-8</v>
      </c>
      <c r="D590" s="1" t="str">
        <f>IFERROR(VLOOKUP(E590,[1]FINAL!$A$2:$J$699,MATCH("Pos",[1]FINAL!$A$1:$J$1,0),0),"")</f>
        <v/>
      </c>
      <c r="E590" s="4" t="str">
        <f>IFERROR(VLOOKUP($A590&amp;$E573,DATA!$F$1:$G$500,MATCH("FULL IN",DATA!$F$1:$G$1,0),0),$E573)</f>
        <v/>
      </c>
      <c r="F590" s="2" t="str">
        <f t="shared" si="103"/>
        <v/>
      </c>
      <c r="G590" s="2" t="str">
        <f>IFERROR(VLOOKUP(E590,[1]FINAL!$A$2:$M$699,MATCH("Team",[1]FINAL!$A$1:$K$1,0),0),"")</f>
        <v/>
      </c>
      <c r="I590" s="4" t="str">
        <f>IFERROR(VLOOKUP($A590&amp;$E573,DATA!$F$1:$H$500,MATCH("FULL OUT",DATA!$F$1:$H$1,0),0),"")</f>
        <v/>
      </c>
    </row>
    <row r="591" spans="1:9" x14ac:dyDescent="0.25">
      <c r="A591" s="6" t="str">
        <f t="shared" si="102"/>
        <v>GW35</v>
      </c>
      <c r="B591" s="7">
        <v>9</v>
      </c>
      <c r="C591" s="7" t="str">
        <f t="shared" si="101"/>
        <v>GW35-9</v>
      </c>
      <c r="D591" s="1" t="str">
        <f>IFERROR(VLOOKUP(E591,[1]FINAL!$A$2:$J$699,MATCH("Pos",[1]FINAL!$A$1:$J$1,0),0),"")</f>
        <v/>
      </c>
      <c r="E591" s="4" t="str">
        <f>IFERROR(VLOOKUP($A591&amp;$E574,DATA!$F$1:$G$500,MATCH("FULL IN",DATA!$F$1:$G$1,0),0),$E574)</f>
        <v/>
      </c>
      <c r="F591" s="2" t="str">
        <f t="shared" si="103"/>
        <v/>
      </c>
      <c r="G591" s="2" t="str">
        <f>IFERROR(VLOOKUP(E591,[1]FINAL!$A$2:$M$699,MATCH("Team",[1]FINAL!$A$1:$K$1,0),0),"")</f>
        <v/>
      </c>
      <c r="I591" s="4" t="str">
        <f>IFERROR(VLOOKUP($A591&amp;$E574,DATA!$F$1:$H$500,MATCH("FULL OUT",DATA!$F$1:$H$1,0),0),"")</f>
        <v/>
      </c>
    </row>
    <row r="592" spans="1:9" x14ac:dyDescent="0.25">
      <c r="A592" s="6" t="str">
        <f t="shared" si="102"/>
        <v>GW35</v>
      </c>
      <c r="B592" s="7">
        <v>10</v>
      </c>
      <c r="C592" s="7" t="str">
        <f t="shared" si="101"/>
        <v>GW35-10</v>
      </c>
      <c r="D592" s="1" t="str">
        <f>IFERROR(VLOOKUP(E592,[1]FINAL!$A$2:$J$699,MATCH("Pos",[1]FINAL!$A$1:$J$1,0),0),"")</f>
        <v/>
      </c>
      <c r="E592" s="4" t="str">
        <f>IFERROR(VLOOKUP($A592&amp;$E575,DATA!$F$1:$G$500,MATCH("FULL IN",DATA!$F$1:$G$1,0),0),$E575)</f>
        <v/>
      </c>
      <c r="F592" s="2" t="str">
        <f t="shared" si="103"/>
        <v/>
      </c>
      <c r="G592" s="2" t="str">
        <f>IFERROR(VLOOKUP(E592,[1]FINAL!$A$2:$M$699,MATCH("Team",[1]FINAL!$A$1:$K$1,0),0),"")</f>
        <v/>
      </c>
      <c r="I592" s="4" t="str">
        <f>IFERROR(VLOOKUP($A592&amp;$E575,DATA!$F$1:$H$500,MATCH("FULL OUT",DATA!$F$1:$H$1,0),0),"")</f>
        <v/>
      </c>
    </row>
    <row r="593" spans="1:9" x14ac:dyDescent="0.25">
      <c r="A593" s="6" t="str">
        <f t="shared" si="102"/>
        <v>GW35</v>
      </c>
      <c r="B593" s="7">
        <v>11</v>
      </c>
      <c r="C593" s="7" t="str">
        <f t="shared" si="101"/>
        <v>GW35-11</v>
      </c>
      <c r="D593" s="1" t="str">
        <f>IFERROR(VLOOKUP(E593,[1]FINAL!$A$2:$J$699,MATCH("Pos",[1]FINAL!$A$1:$J$1,0),0),"")</f>
        <v/>
      </c>
      <c r="E593" s="4" t="str">
        <f>IFERROR(VLOOKUP($A593&amp;$E576,DATA!$F$1:$G$500,MATCH("FULL IN",DATA!$F$1:$G$1,0),0),$E576)</f>
        <v/>
      </c>
      <c r="F593" s="2" t="str">
        <f t="shared" si="103"/>
        <v/>
      </c>
      <c r="G593" s="2" t="str">
        <f>IFERROR(VLOOKUP(E593,[1]FINAL!$A$2:$M$699,MATCH("Team",[1]FINAL!$A$1:$K$1,0),0),"")</f>
        <v/>
      </c>
      <c r="I593" s="4" t="str">
        <f>IFERROR(VLOOKUP($A593&amp;$E576,DATA!$F$1:$H$500,MATCH("FULL OUT",DATA!$F$1:$H$1,0),0),"")</f>
        <v/>
      </c>
    </row>
    <row r="594" spans="1:9" x14ac:dyDescent="0.25">
      <c r="A594" s="6" t="str">
        <f t="shared" si="102"/>
        <v>GW35</v>
      </c>
      <c r="B594" s="7">
        <v>12</v>
      </c>
      <c r="C594" s="7" t="str">
        <f t="shared" si="101"/>
        <v>GW35-12</v>
      </c>
      <c r="D594" s="1" t="str">
        <f>IFERROR(VLOOKUP(E594,[1]FINAL!$A$2:$J$699,MATCH("Pos",[1]FINAL!$A$1:$J$1,0),0),"")</f>
        <v/>
      </c>
      <c r="E594" s="4" t="str">
        <f>IFERROR(VLOOKUP($A594&amp;$E577,DATA!$F$1:$G$500,MATCH("FULL IN",DATA!$F$1:$G$1,0),0),$E577)</f>
        <v/>
      </c>
      <c r="F594" s="2" t="str">
        <f t="shared" si="103"/>
        <v/>
      </c>
      <c r="G594" s="2" t="str">
        <f>IFERROR(VLOOKUP(E594,[1]FINAL!$A$2:$M$699,MATCH("Team",[1]FINAL!$A$1:$K$1,0),0),"")</f>
        <v/>
      </c>
      <c r="I594" s="4" t="str">
        <f>IFERROR(VLOOKUP($A594&amp;$E577,DATA!$F$1:$H$500,MATCH("FULL OUT",DATA!$F$1:$H$1,0),0),"")</f>
        <v/>
      </c>
    </row>
    <row r="595" spans="1:9" x14ac:dyDescent="0.25">
      <c r="A595" s="6" t="str">
        <f t="shared" si="102"/>
        <v>GW35</v>
      </c>
      <c r="B595" s="7">
        <v>13</v>
      </c>
      <c r="C595" s="7" t="str">
        <f t="shared" si="101"/>
        <v>GW35-13</v>
      </c>
      <c r="D595" s="1" t="str">
        <f>IFERROR(VLOOKUP(E595,[1]FINAL!$A$2:$J$699,MATCH("Pos",[1]FINAL!$A$1:$J$1,0),0),"")</f>
        <v/>
      </c>
      <c r="E595" s="4" t="str">
        <f>IFERROR(VLOOKUP($A595&amp;$E578,DATA!$F$1:$G$500,MATCH("FULL IN",DATA!$F$1:$G$1,0),0),$E578)</f>
        <v/>
      </c>
      <c r="F595" s="2" t="str">
        <f t="shared" si="103"/>
        <v/>
      </c>
      <c r="G595" s="2" t="str">
        <f>IFERROR(VLOOKUP(E595,[1]FINAL!$A$2:$M$699,MATCH("Team",[1]FINAL!$A$1:$K$1,0),0),"")</f>
        <v/>
      </c>
      <c r="I595" s="4" t="str">
        <f>IFERROR(VLOOKUP($A595&amp;$E578,DATA!$F$1:$H$500,MATCH("FULL OUT",DATA!$F$1:$H$1,0),0),"")</f>
        <v/>
      </c>
    </row>
    <row r="596" spans="1:9" x14ac:dyDescent="0.25">
      <c r="A596" s="6" t="str">
        <f t="shared" si="102"/>
        <v>GW35</v>
      </c>
      <c r="B596" s="7">
        <v>14</v>
      </c>
      <c r="C596" s="7" t="str">
        <f t="shared" si="101"/>
        <v>GW35-14</v>
      </c>
      <c r="D596" s="1" t="str">
        <f>IFERROR(VLOOKUP(E596,[1]FINAL!$A$2:$J$699,MATCH("Pos",[1]FINAL!$A$1:$J$1,0),0),"")</f>
        <v/>
      </c>
      <c r="E596" s="4" t="str">
        <f>IFERROR(VLOOKUP($A596&amp;$E579,DATA!$F$1:$G$500,MATCH("FULL IN",DATA!$F$1:$G$1,0),0),$E579)</f>
        <v/>
      </c>
      <c r="F596" s="2" t="str">
        <f t="shared" si="103"/>
        <v/>
      </c>
      <c r="G596" s="2" t="str">
        <f>IFERROR(VLOOKUP(E596,[1]FINAL!$A$2:$M$699,MATCH("Team",[1]FINAL!$A$1:$K$1,0),0),"")</f>
        <v/>
      </c>
      <c r="I596" s="4" t="str">
        <f>IFERROR(VLOOKUP($A596&amp;$E579,DATA!$F$1:$H$500,MATCH("FULL OUT",DATA!$F$1:$H$1,0),0),"")</f>
        <v/>
      </c>
    </row>
    <row r="597" spans="1:9" x14ac:dyDescent="0.25">
      <c r="A597" s="6" t="str">
        <f t="shared" si="102"/>
        <v>GW35</v>
      </c>
      <c r="B597" s="7">
        <v>15</v>
      </c>
      <c r="C597" s="7" t="str">
        <f t="shared" si="101"/>
        <v>GW35-15</v>
      </c>
      <c r="D597" s="1" t="str">
        <f>IFERROR(VLOOKUP(E597,[1]FINAL!$A$2:$J$699,MATCH("Pos",[1]FINAL!$A$1:$J$1,0),0),"")</f>
        <v/>
      </c>
      <c r="E597" s="4" t="str">
        <f>IFERROR(VLOOKUP($A597&amp;$E580,DATA!$F$1:$G$500,MATCH("FULL IN",DATA!$F$1:$G$1,0),0),$E580)</f>
        <v/>
      </c>
      <c r="F597" s="2" t="str">
        <f t="shared" si="103"/>
        <v/>
      </c>
      <c r="G597" s="2" t="str">
        <f>IFERROR(VLOOKUP(E597,[1]FINAL!$A$2:$M$699,MATCH("Team",[1]FINAL!$A$1:$K$1,0),0),"")</f>
        <v/>
      </c>
      <c r="I597" s="4" t="str">
        <f>IFERROR(VLOOKUP($A597&amp;$E580,DATA!$F$1:$H$500,MATCH("FULL OUT",DATA!$F$1:$H$1,0),0),"")</f>
        <v/>
      </c>
    </row>
    <row r="600" spans="1:9" x14ac:dyDescent="0.25">
      <c r="A600" s="6" t="s">
        <v>38</v>
      </c>
      <c r="B600" s="7">
        <v>1</v>
      </c>
      <c r="C600" s="7" t="str">
        <f>A600&amp;-B600</f>
        <v>GW36-1</v>
      </c>
      <c r="D600" s="1" t="str">
        <f>IFERROR(VLOOKUP(E600,[1]FINAL!$A$2:$J$699,MATCH("Pos",[1]FINAL!$A$1:$J$1,0),0),"")</f>
        <v/>
      </c>
      <c r="E600" s="4" t="str">
        <f>IFERROR(VLOOKUP($A600&amp;$E583,DATA!$F$1:$G$500,MATCH("FULL IN",DATA!$F$1:$G$1,0),0),$E583)</f>
        <v>Player Name</v>
      </c>
      <c r="G600" s="2" t="str">
        <f>IFERROR(VLOOKUP(E600,[1]FINAL!$A$2:$M$699,MATCH("Team",[1]FINAL!$A$1:$K$1,0),0),"")</f>
        <v/>
      </c>
      <c r="I600" s="4" t="str">
        <f>IFERROR(VLOOKUP($A600&amp;$E583,DATA!$F$1:$H$500,MATCH("FULL OUT",DATA!$F$1:$H$1,0),0),"")</f>
        <v/>
      </c>
    </row>
    <row r="601" spans="1:9" x14ac:dyDescent="0.25">
      <c r="A601" s="6" t="str">
        <f>A600</f>
        <v>GW36</v>
      </c>
      <c r="B601" s="7">
        <v>2</v>
      </c>
      <c r="C601" s="7" t="str">
        <f t="shared" ref="C601:C614" si="104">A601&amp;-B601</f>
        <v>GW36-2</v>
      </c>
      <c r="D601" s="1" t="str">
        <f>IFERROR(VLOOKUP(E601,[1]FINAL!$A$2:$J$699,MATCH("Pos",[1]FINAL!$A$1:$J$1,0),0),"")</f>
        <v/>
      </c>
      <c r="E601" s="4" t="str">
        <f>IFERROR(VLOOKUP($A601&amp;$E584,DATA!$F$1:$G$500,MATCH("FULL IN",DATA!$F$1:$G$1,0),0),$E584)</f>
        <v/>
      </c>
      <c r="F601" s="2" t="str">
        <f>IF(Z601="","","IN")</f>
        <v/>
      </c>
      <c r="G601" s="2" t="str">
        <f>IFERROR(VLOOKUP(E601,[1]FINAL!$A$2:$M$699,MATCH("Team",[1]FINAL!$A$1:$K$1,0),0),"")</f>
        <v/>
      </c>
      <c r="I601" s="4" t="str">
        <f>IFERROR(VLOOKUP($A601&amp;$E584,DATA!$F$1:$H$500,MATCH("FULL OUT",DATA!$F$1:$H$1,0),0),"")</f>
        <v/>
      </c>
    </row>
    <row r="602" spans="1:9" x14ac:dyDescent="0.25">
      <c r="A602" s="6" t="str">
        <f t="shared" ref="A602:A614" si="105">A601</f>
        <v>GW36</v>
      </c>
      <c r="B602" s="7">
        <v>3</v>
      </c>
      <c r="C602" s="7" t="str">
        <f t="shared" si="104"/>
        <v>GW36-3</v>
      </c>
      <c r="D602" s="1" t="str">
        <f>IFERROR(VLOOKUP(E602,[1]FINAL!$A$2:$J$699,MATCH("Pos",[1]FINAL!$A$1:$J$1,0),0),"")</f>
        <v/>
      </c>
      <c r="E602" s="4" t="str">
        <f>IFERROR(VLOOKUP($A602&amp;$E585,DATA!$F$1:$G$500,MATCH("FULL IN",DATA!$F$1:$G$1,0),0),$E585)</f>
        <v/>
      </c>
      <c r="F602" s="2" t="str">
        <f t="shared" ref="F602:F614" si="106">IF(Z602="","","IN")</f>
        <v/>
      </c>
      <c r="G602" s="2" t="str">
        <f>IFERROR(VLOOKUP(E602,[1]FINAL!$A$2:$M$699,MATCH("Team",[1]FINAL!$A$1:$K$1,0),0),"")</f>
        <v/>
      </c>
      <c r="I602" s="4" t="str">
        <f>IFERROR(VLOOKUP($A602&amp;$E585,DATA!$F$1:$H$500,MATCH("FULL OUT",DATA!$F$1:$H$1,0),0),"")</f>
        <v/>
      </c>
    </row>
    <row r="603" spans="1:9" x14ac:dyDescent="0.25">
      <c r="A603" s="6" t="str">
        <f t="shared" si="105"/>
        <v>GW36</v>
      </c>
      <c r="B603" s="7">
        <v>4</v>
      </c>
      <c r="C603" s="7" t="str">
        <f t="shared" si="104"/>
        <v>GW36-4</v>
      </c>
      <c r="D603" s="1" t="str">
        <f>IFERROR(VLOOKUP(E603,[1]FINAL!$A$2:$J$699,MATCH("Pos",[1]FINAL!$A$1:$J$1,0),0),"")</f>
        <v/>
      </c>
      <c r="E603" s="4" t="str">
        <f>IFERROR(VLOOKUP($A603&amp;$E586,DATA!$F$1:$G$500,MATCH("FULL IN",DATA!$F$1:$G$1,0),0),$E586)</f>
        <v/>
      </c>
      <c r="F603" s="2" t="str">
        <f t="shared" si="106"/>
        <v/>
      </c>
      <c r="G603" s="2" t="str">
        <f>IFERROR(VLOOKUP(E603,[1]FINAL!$A$2:$M$699,MATCH("Team",[1]FINAL!$A$1:$K$1,0),0),"")</f>
        <v/>
      </c>
      <c r="I603" s="4" t="str">
        <f>IFERROR(VLOOKUP($A603&amp;$E586,DATA!$F$1:$H$500,MATCH("FULL OUT",DATA!$F$1:$H$1,0),0),"")</f>
        <v/>
      </c>
    </row>
    <row r="604" spans="1:9" x14ac:dyDescent="0.25">
      <c r="A604" s="6" t="str">
        <f t="shared" si="105"/>
        <v>GW36</v>
      </c>
      <c r="B604" s="7">
        <v>5</v>
      </c>
      <c r="C604" s="7" t="str">
        <f t="shared" si="104"/>
        <v>GW36-5</v>
      </c>
      <c r="D604" s="1" t="str">
        <f>IFERROR(VLOOKUP(E604,[1]FINAL!$A$2:$J$699,MATCH("Pos",[1]FINAL!$A$1:$J$1,0),0),"")</f>
        <v/>
      </c>
      <c r="E604" s="4" t="str">
        <f>IFERROR(VLOOKUP($A604&amp;$E587,DATA!$F$1:$G$500,MATCH("FULL IN",DATA!$F$1:$G$1,0),0),$E587)</f>
        <v/>
      </c>
      <c r="F604" s="2" t="str">
        <f t="shared" si="106"/>
        <v/>
      </c>
      <c r="G604" s="2" t="str">
        <f>IFERROR(VLOOKUP(E604,[1]FINAL!$A$2:$M$699,MATCH("Team",[1]FINAL!$A$1:$K$1,0),0),"")</f>
        <v/>
      </c>
      <c r="I604" s="4" t="str">
        <f>IFERROR(VLOOKUP($A604&amp;$E587,DATA!$F$1:$H$500,MATCH("FULL OUT",DATA!$F$1:$H$1,0),0),"")</f>
        <v/>
      </c>
    </row>
    <row r="605" spans="1:9" x14ac:dyDescent="0.25">
      <c r="A605" s="6" t="str">
        <f t="shared" si="105"/>
        <v>GW36</v>
      </c>
      <c r="B605" s="7">
        <v>6</v>
      </c>
      <c r="C605" s="7" t="str">
        <f t="shared" si="104"/>
        <v>GW36-6</v>
      </c>
      <c r="D605" s="1" t="str">
        <f>IFERROR(VLOOKUP(E605,[1]FINAL!$A$2:$J$699,MATCH("Pos",[1]FINAL!$A$1:$J$1,0),0),"")</f>
        <v/>
      </c>
      <c r="E605" s="4" t="str">
        <f>IFERROR(VLOOKUP($A605&amp;$E588,DATA!$F$1:$G$500,MATCH("FULL IN",DATA!$F$1:$G$1,0),0),$E588)</f>
        <v/>
      </c>
      <c r="F605" s="2" t="str">
        <f t="shared" si="106"/>
        <v/>
      </c>
      <c r="G605" s="2" t="str">
        <f>IFERROR(VLOOKUP(E605,[1]FINAL!$A$2:$M$699,MATCH("Team",[1]FINAL!$A$1:$K$1,0),0),"")</f>
        <v/>
      </c>
      <c r="I605" s="4" t="str">
        <f>IFERROR(VLOOKUP($A605&amp;$E588,DATA!$F$1:$H$500,MATCH("FULL OUT",DATA!$F$1:$H$1,0),0),"")</f>
        <v/>
      </c>
    </row>
    <row r="606" spans="1:9" x14ac:dyDescent="0.25">
      <c r="A606" s="6" t="str">
        <f t="shared" si="105"/>
        <v>GW36</v>
      </c>
      <c r="B606" s="7">
        <v>7</v>
      </c>
      <c r="C606" s="7" t="str">
        <f t="shared" si="104"/>
        <v>GW36-7</v>
      </c>
      <c r="D606" s="1" t="str">
        <f>IFERROR(VLOOKUP(E606,[1]FINAL!$A$2:$J$699,MATCH("Pos",[1]FINAL!$A$1:$J$1,0),0),"")</f>
        <v/>
      </c>
      <c r="E606" s="4" t="str">
        <f>IFERROR(VLOOKUP($A606&amp;$E589,DATA!$F$1:$G$500,MATCH("FULL IN",DATA!$F$1:$G$1,0),0),$E589)</f>
        <v/>
      </c>
      <c r="F606" s="2" t="str">
        <f t="shared" si="106"/>
        <v/>
      </c>
      <c r="G606" s="2" t="str">
        <f>IFERROR(VLOOKUP(E606,[1]FINAL!$A$2:$M$699,MATCH("Team",[1]FINAL!$A$1:$K$1,0),0),"")</f>
        <v/>
      </c>
      <c r="I606" s="4" t="str">
        <f>IFERROR(VLOOKUP($A606&amp;$E589,DATA!$F$1:$H$500,MATCH("FULL OUT",DATA!$F$1:$H$1,0),0),"")</f>
        <v/>
      </c>
    </row>
    <row r="607" spans="1:9" x14ac:dyDescent="0.25">
      <c r="A607" s="6" t="str">
        <f t="shared" si="105"/>
        <v>GW36</v>
      </c>
      <c r="B607" s="7">
        <v>8</v>
      </c>
      <c r="C607" s="7" t="str">
        <f t="shared" si="104"/>
        <v>GW36-8</v>
      </c>
      <c r="D607" s="1" t="str">
        <f>IFERROR(VLOOKUP(E607,[1]FINAL!$A$2:$J$699,MATCH("Pos",[1]FINAL!$A$1:$J$1,0),0),"")</f>
        <v/>
      </c>
      <c r="E607" s="4" t="str">
        <f>IFERROR(VLOOKUP($A607&amp;$E590,DATA!$F$1:$G$500,MATCH("FULL IN",DATA!$F$1:$G$1,0),0),$E590)</f>
        <v/>
      </c>
      <c r="F607" s="2" t="str">
        <f t="shared" si="106"/>
        <v/>
      </c>
      <c r="G607" s="2" t="str">
        <f>IFERROR(VLOOKUP(E607,[1]FINAL!$A$2:$M$699,MATCH("Team",[1]FINAL!$A$1:$K$1,0),0),"")</f>
        <v/>
      </c>
      <c r="I607" s="4" t="str">
        <f>IFERROR(VLOOKUP($A607&amp;$E590,DATA!$F$1:$H$500,MATCH("FULL OUT",DATA!$F$1:$H$1,0),0),"")</f>
        <v/>
      </c>
    </row>
    <row r="608" spans="1:9" x14ac:dyDescent="0.25">
      <c r="A608" s="6" t="str">
        <f t="shared" si="105"/>
        <v>GW36</v>
      </c>
      <c r="B608" s="7">
        <v>9</v>
      </c>
      <c r="C608" s="7" t="str">
        <f t="shared" si="104"/>
        <v>GW36-9</v>
      </c>
      <c r="D608" s="1" t="str">
        <f>IFERROR(VLOOKUP(E608,[1]FINAL!$A$2:$J$699,MATCH("Pos",[1]FINAL!$A$1:$J$1,0),0),"")</f>
        <v/>
      </c>
      <c r="E608" s="4" t="str">
        <f>IFERROR(VLOOKUP($A608&amp;$E591,DATA!$F$1:$G$500,MATCH("FULL IN",DATA!$F$1:$G$1,0),0),$E591)</f>
        <v/>
      </c>
      <c r="F608" s="2" t="str">
        <f t="shared" si="106"/>
        <v/>
      </c>
      <c r="G608" s="2" t="str">
        <f>IFERROR(VLOOKUP(E608,[1]FINAL!$A$2:$M$699,MATCH("Team",[1]FINAL!$A$1:$K$1,0),0),"")</f>
        <v/>
      </c>
      <c r="I608" s="4" t="str">
        <f>IFERROR(VLOOKUP($A608&amp;$E591,DATA!$F$1:$H$500,MATCH("FULL OUT",DATA!$F$1:$H$1,0),0),"")</f>
        <v/>
      </c>
    </row>
    <row r="609" spans="1:9" x14ac:dyDescent="0.25">
      <c r="A609" s="6" t="str">
        <f t="shared" si="105"/>
        <v>GW36</v>
      </c>
      <c r="B609" s="7">
        <v>10</v>
      </c>
      <c r="C609" s="7" t="str">
        <f t="shared" si="104"/>
        <v>GW36-10</v>
      </c>
      <c r="D609" s="1" t="str">
        <f>IFERROR(VLOOKUP(E609,[1]FINAL!$A$2:$J$699,MATCH("Pos",[1]FINAL!$A$1:$J$1,0),0),"")</f>
        <v/>
      </c>
      <c r="E609" s="4" t="str">
        <f>IFERROR(VLOOKUP($A609&amp;$E592,DATA!$F$1:$G$500,MATCH("FULL IN",DATA!$F$1:$G$1,0),0),$E592)</f>
        <v/>
      </c>
      <c r="F609" s="2" t="str">
        <f t="shared" si="106"/>
        <v/>
      </c>
      <c r="G609" s="2" t="str">
        <f>IFERROR(VLOOKUP(E609,[1]FINAL!$A$2:$M$699,MATCH("Team",[1]FINAL!$A$1:$K$1,0),0),"")</f>
        <v/>
      </c>
      <c r="I609" s="4" t="str">
        <f>IFERROR(VLOOKUP($A609&amp;$E592,DATA!$F$1:$H$500,MATCH("FULL OUT",DATA!$F$1:$H$1,0),0),"")</f>
        <v/>
      </c>
    </row>
    <row r="610" spans="1:9" x14ac:dyDescent="0.25">
      <c r="A610" s="6" t="str">
        <f t="shared" si="105"/>
        <v>GW36</v>
      </c>
      <c r="B610" s="7">
        <v>11</v>
      </c>
      <c r="C610" s="7" t="str">
        <f t="shared" si="104"/>
        <v>GW36-11</v>
      </c>
      <c r="D610" s="1" t="str">
        <f>IFERROR(VLOOKUP(E610,[1]FINAL!$A$2:$J$699,MATCH("Pos",[1]FINAL!$A$1:$J$1,0),0),"")</f>
        <v/>
      </c>
      <c r="E610" s="4" t="str">
        <f>IFERROR(VLOOKUP($A610&amp;$E593,DATA!$F$1:$G$500,MATCH("FULL IN",DATA!$F$1:$G$1,0),0),$E593)</f>
        <v/>
      </c>
      <c r="F610" s="2" t="str">
        <f t="shared" si="106"/>
        <v/>
      </c>
      <c r="G610" s="2" t="str">
        <f>IFERROR(VLOOKUP(E610,[1]FINAL!$A$2:$M$699,MATCH("Team",[1]FINAL!$A$1:$K$1,0),0),"")</f>
        <v/>
      </c>
      <c r="I610" s="4" t="str">
        <f>IFERROR(VLOOKUP($A610&amp;$E593,DATA!$F$1:$H$500,MATCH("FULL OUT",DATA!$F$1:$H$1,0),0),"")</f>
        <v/>
      </c>
    </row>
    <row r="611" spans="1:9" x14ac:dyDescent="0.25">
      <c r="A611" s="6" t="str">
        <f t="shared" si="105"/>
        <v>GW36</v>
      </c>
      <c r="B611" s="7">
        <v>12</v>
      </c>
      <c r="C611" s="7" t="str">
        <f t="shared" si="104"/>
        <v>GW36-12</v>
      </c>
      <c r="D611" s="1" t="str">
        <f>IFERROR(VLOOKUP(E611,[1]FINAL!$A$2:$J$699,MATCH("Pos",[1]FINAL!$A$1:$J$1,0),0),"")</f>
        <v/>
      </c>
      <c r="E611" s="4" t="str">
        <f>IFERROR(VLOOKUP($A611&amp;$E594,DATA!$F$1:$G$500,MATCH("FULL IN",DATA!$F$1:$G$1,0),0),$E594)</f>
        <v/>
      </c>
      <c r="F611" s="2" t="str">
        <f t="shared" si="106"/>
        <v/>
      </c>
      <c r="G611" s="2" t="str">
        <f>IFERROR(VLOOKUP(E611,[1]FINAL!$A$2:$M$699,MATCH("Team",[1]FINAL!$A$1:$K$1,0),0),"")</f>
        <v/>
      </c>
      <c r="I611" s="4" t="str">
        <f>IFERROR(VLOOKUP($A611&amp;$E594,DATA!$F$1:$H$500,MATCH("FULL OUT",DATA!$F$1:$H$1,0),0),"")</f>
        <v/>
      </c>
    </row>
    <row r="612" spans="1:9" x14ac:dyDescent="0.25">
      <c r="A612" s="6" t="str">
        <f t="shared" si="105"/>
        <v>GW36</v>
      </c>
      <c r="B612" s="7">
        <v>13</v>
      </c>
      <c r="C612" s="7" t="str">
        <f t="shared" si="104"/>
        <v>GW36-13</v>
      </c>
      <c r="D612" s="1" t="str">
        <f>IFERROR(VLOOKUP(E612,[1]FINAL!$A$2:$J$699,MATCH("Pos",[1]FINAL!$A$1:$J$1,0),0),"")</f>
        <v/>
      </c>
      <c r="E612" s="4" t="str">
        <f>IFERROR(VLOOKUP($A612&amp;$E595,DATA!$F$1:$G$500,MATCH("FULL IN",DATA!$F$1:$G$1,0),0),$E595)</f>
        <v/>
      </c>
      <c r="F612" s="2" t="str">
        <f t="shared" si="106"/>
        <v/>
      </c>
      <c r="G612" s="2" t="str">
        <f>IFERROR(VLOOKUP(E612,[1]FINAL!$A$2:$M$699,MATCH("Team",[1]FINAL!$A$1:$K$1,0),0),"")</f>
        <v/>
      </c>
      <c r="I612" s="4" t="str">
        <f>IFERROR(VLOOKUP($A612&amp;$E595,DATA!$F$1:$H$500,MATCH("FULL OUT",DATA!$F$1:$H$1,0),0),"")</f>
        <v/>
      </c>
    </row>
    <row r="613" spans="1:9" x14ac:dyDescent="0.25">
      <c r="A613" s="6" t="str">
        <f t="shared" si="105"/>
        <v>GW36</v>
      </c>
      <c r="B613" s="7">
        <v>14</v>
      </c>
      <c r="C613" s="7" t="str">
        <f t="shared" si="104"/>
        <v>GW36-14</v>
      </c>
      <c r="D613" s="1" t="str">
        <f>IFERROR(VLOOKUP(E613,[1]FINAL!$A$2:$J$699,MATCH("Pos",[1]FINAL!$A$1:$J$1,0),0),"")</f>
        <v/>
      </c>
      <c r="E613" s="4" t="str">
        <f>IFERROR(VLOOKUP($A613&amp;$E596,DATA!$F$1:$G$500,MATCH("FULL IN",DATA!$F$1:$G$1,0),0),$E596)</f>
        <v/>
      </c>
      <c r="F613" s="2" t="str">
        <f t="shared" si="106"/>
        <v/>
      </c>
      <c r="G613" s="2" t="str">
        <f>IFERROR(VLOOKUP(E613,[1]FINAL!$A$2:$M$699,MATCH("Team",[1]FINAL!$A$1:$K$1,0),0),"")</f>
        <v/>
      </c>
      <c r="I613" s="4" t="str">
        <f>IFERROR(VLOOKUP($A613&amp;$E596,DATA!$F$1:$H$500,MATCH("FULL OUT",DATA!$F$1:$H$1,0),0),"")</f>
        <v/>
      </c>
    </row>
    <row r="614" spans="1:9" x14ac:dyDescent="0.25">
      <c r="A614" s="6" t="str">
        <f t="shared" si="105"/>
        <v>GW36</v>
      </c>
      <c r="B614" s="7">
        <v>15</v>
      </c>
      <c r="C614" s="7" t="str">
        <f t="shared" si="104"/>
        <v>GW36-15</v>
      </c>
      <c r="D614" s="1" t="str">
        <f>IFERROR(VLOOKUP(E614,[1]FINAL!$A$2:$J$699,MATCH("Pos",[1]FINAL!$A$1:$J$1,0),0),"")</f>
        <v/>
      </c>
      <c r="E614" s="4" t="str">
        <f>IFERROR(VLOOKUP($A614&amp;$E597,DATA!$F$1:$G$500,MATCH("FULL IN",DATA!$F$1:$G$1,0),0),$E597)</f>
        <v/>
      </c>
      <c r="F614" s="2" t="str">
        <f t="shared" si="106"/>
        <v/>
      </c>
      <c r="G614" s="2" t="str">
        <f>IFERROR(VLOOKUP(E614,[1]FINAL!$A$2:$M$699,MATCH("Team",[1]FINAL!$A$1:$K$1,0),0),"")</f>
        <v/>
      </c>
      <c r="I614" s="4" t="str">
        <f>IFERROR(VLOOKUP($A614&amp;$E597,DATA!$F$1:$H$500,MATCH("FULL OUT",DATA!$F$1:$H$1,0),0),"")</f>
        <v/>
      </c>
    </row>
    <row r="617" spans="1:9" x14ac:dyDescent="0.25">
      <c r="A617" s="6" t="s">
        <v>39</v>
      </c>
      <c r="B617" s="7">
        <v>1</v>
      </c>
      <c r="C617" s="7" t="str">
        <f>A617&amp;-B617</f>
        <v>GW37-1</v>
      </c>
      <c r="D617" s="1" t="str">
        <f>IFERROR(VLOOKUP(E617,[1]FINAL!$A$2:$J$699,MATCH("Pos",[1]FINAL!$A$1:$J$1,0),0),"")</f>
        <v/>
      </c>
      <c r="E617" s="4" t="str">
        <f>IFERROR(VLOOKUP($A617&amp;$E600,DATA!$F$1:$G$500,MATCH("FULL IN",DATA!$F$1:$G$1,0),0),$E600)</f>
        <v>Player Name</v>
      </c>
      <c r="G617" s="2" t="str">
        <f>IFERROR(VLOOKUP(E617,[1]FINAL!$A$2:$M$699,MATCH("Team",[1]FINAL!$A$1:$K$1,0),0),"")</f>
        <v/>
      </c>
      <c r="I617" s="4" t="str">
        <f>IFERROR(VLOOKUP($A617&amp;$E600,DATA!$F$1:$H$500,MATCH("FULL OUT",DATA!$F$1:$H$1,0),0),"")</f>
        <v/>
      </c>
    </row>
    <row r="618" spans="1:9" x14ac:dyDescent="0.25">
      <c r="A618" s="6" t="str">
        <f>A617</f>
        <v>GW37</v>
      </c>
      <c r="B618" s="7">
        <v>2</v>
      </c>
      <c r="C618" s="7" t="str">
        <f t="shared" ref="C618:C631" si="107">A618&amp;-B618</f>
        <v>GW37-2</v>
      </c>
      <c r="D618" s="1" t="str">
        <f>IFERROR(VLOOKUP(E618,[1]FINAL!$A$2:$J$699,MATCH("Pos",[1]FINAL!$A$1:$J$1,0),0),"")</f>
        <v/>
      </c>
      <c r="E618" s="4" t="str">
        <f>IFERROR(VLOOKUP($A618&amp;$E601,DATA!$F$1:$G$500,MATCH("FULL IN",DATA!$F$1:$G$1,0),0),$E601)</f>
        <v/>
      </c>
      <c r="F618" s="2" t="str">
        <f>IF(Z618="","","IN")</f>
        <v/>
      </c>
      <c r="G618" s="2" t="str">
        <f>IFERROR(VLOOKUP(E618,[1]FINAL!$A$2:$M$699,MATCH("Team",[1]FINAL!$A$1:$K$1,0),0),"")</f>
        <v/>
      </c>
      <c r="I618" s="4" t="str">
        <f>IFERROR(VLOOKUP($A618&amp;$E601,DATA!$F$1:$H$500,MATCH("FULL OUT",DATA!$F$1:$H$1,0),0),"")</f>
        <v/>
      </c>
    </row>
    <row r="619" spans="1:9" x14ac:dyDescent="0.25">
      <c r="A619" s="6" t="str">
        <f t="shared" ref="A619:A631" si="108">A618</f>
        <v>GW37</v>
      </c>
      <c r="B619" s="7">
        <v>3</v>
      </c>
      <c r="C619" s="7" t="str">
        <f t="shared" si="107"/>
        <v>GW37-3</v>
      </c>
      <c r="D619" s="1" t="str">
        <f>IFERROR(VLOOKUP(E619,[1]FINAL!$A$2:$J$699,MATCH("Pos",[1]FINAL!$A$1:$J$1,0),0),"")</f>
        <v/>
      </c>
      <c r="E619" s="4" t="str">
        <f>IFERROR(VLOOKUP($A619&amp;$E602,DATA!$F$1:$G$500,MATCH("FULL IN",DATA!$F$1:$G$1,0),0),$E602)</f>
        <v/>
      </c>
      <c r="F619" s="2" t="str">
        <f t="shared" ref="F619:F631" si="109">IF(Z619="","","IN")</f>
        <v/>
      </c>
      <c r="G619" s="2" t="str">
        <f>IFERROR(VLOOKUP(E619,[1]FINAL!$A$2:$M$699,MATCH("Team",[1]FINAL!$A$1:$K$1,0),0),"")</f>
        <v/>
      </c>
      <c r="I619" s="4" t="str">
        <f>IFERROR(VLOOKUP($A619&amp;$E602,DATA!$F$1:$H$500,MATCH("FULL OUT",DATA!$F$1:$H$1,0),0),"")</f>
        <v/>
      </c>
    </row>
    <row r="620" spans="1:9" x14ac:dyDescent="0.25">
      <c r="A620" s="6" t="str">
        <f t="shared" si="108"/>
        <v>GW37</v>
      </c>
      <c r="B620" s="7">
        <v>4</v>
      </c>
      <c r="C620" s="7" t="str">
        <f t="shared" si="107"/>
        <v>GW37-4</v>
      </c>
      <c r="D620" s="1" t="str">
        <f>IFERROR(VLOOKUP(E620,[1]FINAL!$A$2:$J$699,MATCH("Pos",[1]FINAL!$A$1:$J$1,0),0),"")</f>
        <v/>
      </c>
      <c r="E620" s="4" t="str">
        <f>IFERROR(VLOOKUP($A620&amp;$E603,DATA!$F$1:$G$500,MATCH("FULL IN",DATA!$F$1:$G$1,0),0),$E603)</f>
        <v/>
      </c>
      <c r="F620" s="2" t="str">
        <f t="shared" si="109"/>
        <v/>
      </c>
      <c r="G620" s="2" t="str">
        <f>IFERROR(VLOOKUP(E620,[1]FINAL!$A$2:$M$699,MATCH("Team",[1]FINAL!$A$1:$K$1,0),0),"")</f>
        <v/>
      </c>
      <c r="I620" s="4" t="str">
        <f>IFERROR(VLOOKUP($A620&amp;$E603,DATA!$F$1:$H$500,MATCH("FULL OUT",DATA!$F$1:$H$1,0),0),"")</f>
        <v/>
      </c>
    </row>
    <row r="621" spans="1:9" x14ac:dyDescent="0.25">
      <c r="A621" s="6" t="str">
        <f t="shared" si="108"/>
        <v>GW37</v>
      </c>
      <c r="B621" s="7">
        <v>5</v>
      </c>
      <c r="C621" s="7" t="str">
        <f t="shared" si="107"/>
        <v>GW37-5</v>
      </c>
      <c r="D621" s="1" t="str">
        <f>IFERROR(VLOOKUP(E621,[1]FINAL!$A$2:$J$699,MATCH("Pos",[1]FINAL!$A$1:$J$1,0),0),"")</f>
        <v/>
      </c>
      <c r="E621" s="4" t="str">
        <f>IFERROR(VLOOKUP($A621&amp;$E604,DATA!$F$1:$G$500,MATCH("FULL IN",DATA!$F$1:$G$1,0),0),$E604)</f>
        <v/>
      </c>
      <c r="F621" s="2" t="str">
        <f t="shared" si="109"/>
        <v/>
      </c>
      <c r="G621" s="2" t="str">
        <f>IFERROR(VLOOKUP(E621,[1]FINAL!$A$2:$M$699,MATCH("Team",[1]FINAL!$A$1:$K$1,0),0),"")</f>
        <v/>
      </c>
      <c r="I621" s="4" t="str">
        <f>IFERROR(VLOOKUP($A621&amp;$E604,DATA!$F$1:$H$500,MATCH("FULL OUT",DATA!$F$1:$H$1,0),0),"")</f>
        <v/>
      </c>
    </row>
    <row r="622" spans="1:9" x14ac:dyDescent="0.25">
      <c r="A622" s="6" t="str">
        <f t="shared" si="108"/>
        <v>GW37</v>
      </c>
      <c r="B622" s="7">
        <v>6</v>
      </c>
      <c r="C622" s="7" t="str">
        <f t="shared" si="107"/>
        <v>GW37-6</v>
      </c>
      <c r="D622" s="1" t="str">
        <f>IFERROR(VLOOKUP(E622,[1]FINAL!$A$2:$J$699,MATCH("Pos",[1]FINAL!$A$1:$J$1,0),0),"")</f>
        <v/>
      </c>
      <c r="E622" s="4" t="str">
        <f>IFERROR(VLOOKUP($A622&amp;$E605,DATA!$F$1:$G$500,MATCH("FULL IN",DATA!$F$1:$G$1,0),0),$E605)</f>
        <v/>
      </c>
      <c r="F622" s="2" t="str">
        <f t="shared" si="109"/>
        <v/>
      </c>
      <c r="G622" s="2" t="str">
        <f>IFERROR(VLOOKUP(E622,[1]FINAL!$A$2:$M$699,MATCH("Team",[1]FINAL!$A$1:$K$1,0),0),"")</f>
        <v/>
      </c>
      <c r="I622" s="4" t="str">
        <f>IFERROR(VLOOKUP($A622&amp;$E605,DATA!$F$1:$H$500,MATCH("FULL OUT",DATA!$F$1:$H$1,0),0),"")</f>
        <v/>
      </c>
    </row>
    <row r="623" spans="1:9" x14ac:dyDescent="0.25">
      <c r="A623" s="6" t="str">
        <f t="shared" si="108"/>
        <v>GW37</v>
      </c>
      <c r="B623" s="7">
        <v>7</v>
      </c>
      <c r="C623" s="7" t="str">
        <f t="shared" si="107"/>
        <v>GW37-7</v>
      </c>
      <c r="D623" s="1" t="str">
        <f>IFERROR(VLOOKUP(E623,[1]FINAL!$A$2:$J$699,MATCH("Pos",[1]FINAL!$A$1:$J$1,0),0),"")</f>
        <v/>
      </c>
      <c r="E623" s="4" t="str">
        <f>IFERROR(VLOOKUP($A623&amp;$E606,DATA!$F$1:$G$500,MATCH("FULL IN",DATA!$F$1:$G$1,0),0),$E606)</f>
        <v/>
      </c>
      <c r="F623" s="2" t="str">
        <f t="shared" si="109"/>
        <v/>
      </c>
      <c r="G623" s="2" t="str">
        <f>IFERROR(VLOOKUP(E623,[1]FINAL!$A$2:$M$699,MATCH("Team",[1]FINAL!$A$1:$K$1,0),0),"")</f>
        <v/>
      </c>
      <c r="I623" s="4" t="str">
        <f>IFERROR(VLOOKUP($A623&amp;$E606,DATA!$F$1:$H$500,MATCH("FULL OUT",DATA!$F$1:$H$1,0),0),"")</f>
        <v/>
      </c>
    </row>
    <row r="624" spans="1:9" x14ac:dyDescent="0.25">
      <c r="A624" s="6" t="str">
        <f t="shared" si="108"/>
        <v>GW37</v>
      </c>
      <c r="B624" s="7">
        <v>8</v>
      </c>
      <c r="C624" s="7" t="str">
        <f t="shared" si="107"/>
        <v>GW37-8</v>
      </c>
      <c r="D624" s="1" t="str">
        <f>IFERROR(VLOOKUP(E624,[1]FINAL!$A$2:$J$699,MATCH("Pos",[1]FINAL!$A$1:$J$1,0),0),"")</f>
        <v/>
      </c>
      <c r="E624" s="4" t="str">
        <f>IFERROR(VLOOKUP($A624&amp;$E607,DATA!$F$1:$G$500,MATCH("FULL IN",DATA!$F$1:$G$1,0),0),$E607)</f>
        <v/>
      </c>
      <c r="F624" s="2" t="str">
        <f t="shared" si="109"/>
        <v/>
      </c>
      <c r="G624" s="2" t="str">
        <f>IFERROR(VLOOKUP(E624,[1]FINAL!$A$2:$M$699,MATCH("Team",[1]FINAL!$A$1:$K$1,0),0),"")</f>
        <v/>
      </c>
      <c r="I624" s="4" t="str">
        <f>IFERROR(VLOOKUP($A624&amp;$E607,DATA!$F$1:$H$500,MATCH("FULL OUT",DATA!$F$1:$H$1,0),0),"")</f>
        <v/>
      </c>
    </row>
    <row r="625" spans="1:9" x14ac:dyDescent="0.25">
      <c r="A625" s="6" t="str">
        <f t="shared" si="108"/>
        <v>GW37</v>
      </c>
      <c r="B625" s="7">
        <v>9</v>
      </c>
      <c r="C625" s="7" t="str">
        <f t="shared" si="107"/>
        <v>GW37-9</v>
      </c>
      <c r="D625" s="1" t="str">
        <f>IFERROR(VLOOKUP(E625,[1]FINAL!$A$2:$J$699,MATCH("Pos",[1]FINAL!$A$1:$J$1,0),0),"")</f>
        <v/>
      </c>
      <c r="E625" s="4" t="str">
        <f>IFERROR(VLOOKUP($A625&amp;$E608,DATA!$F$1:$G$500,MATCH("FULL IN",DATA!$F$1:$G$1,0),0),$E608)</f>
        <v/>
      </c>
      <c r="F625" s="2" t="str">
        <f t="shared" si="109"/>
        <v/>
      </c>
      <c r="G625" s="2" t="str">
        <f>IFERROR(VLOOKUP(E625,[1]FINAL!$A$2:$M$699,MATCH("Team",[1]FINAL!$A$1:$K$1,0),0),"")</f>
        <v/>
      </c>
      <c r="I625" s="4" t="str">
        <f>IFERROR(VLOOKUP($A625&amp;$E608,DATA!$F$1:$H$500,MATCH("FULL OUT",DATA!$F$1:$H$1,0),0),"")</f>
        <v/>
      </c>
    </row>
    <row r="626" spans="1:9" x14ac:dyDescent="0.25">
      <c r="A626" s="6" t="str">
        <f t="shared" si="108"/>
        <v>GW37</v>
      </c>
      <c r="B626" s="7">
        <v>10</v>
      </c>
      <c r="C626" s="7" t="str">
        <f t="shared" si="107"/>
        <v>GW37-10</v>
      </c>
      <c r="D626" s="1" t="str">
        <f>IFERROR(VLOOKUP(E626,[1]FINAL!$A$2:$J$699,MATCH("Pos",[1]FINAL!$A$1:$J$1,0),0),"")</f>
        <v/>
      </c>
      <c r="E626" s="4" t="str">
        <f>IFERROR(VLOOKUP($A626&amp;$E609,DATA!$F$1:$G$500,MATCH("FULL IN",DATA!$F$1:$G$1,0),0),$E609)</f>
        <v/>
      </c>
      <c r="F626" s="2" t="str">
        <f t="shared" si="109"/>
        <v/>
      </c>
      <c r="G626" s="2" t="str">
        <f>IFERROR(VLOOKUP(E626,[1]FINAL!$A$2:$M$699,MATCH("Team",[1]FINAL!$A$1:$K$1,0),0),"")</f>
        <v/>
      </c>
      <c r="I626" s="4" t="str">
        <f>IFERROR(VLOOKUP($A626&amp;$E609,DATA!$F$1:$H$500,MATCH("FULL OUT",DATA!$F$1:$H$1,0),0),"")</f>
        <v/>
      </c>
    </row>
    <row r="627" spans="1:9" x14ac:dyDescent="0.25">
      <c r="A627" s="6" t="str">
        <f t="shared" si="108"/>
        <v>GW37</v>
      </c>
      <c r="B627" s="7">
        <v>11</v>
      </c>
      <c r="C627" s="7" t="str">
        <f t="shared" si="107"/>
        <v>GW37-11</v>
      </c>
      <c r="D627" s="1" t="str">
        <f>IFERROR(VLOOKUP(E627,[1]FINAL!$A$2:$J$699,MATCH("Pos",[1]FINAL!$A$1:$J$1,0),0),"")</f>
        <v/>
      </c>
      <c r="E627" s="4" t="str">
        <f>IFERROR(VLOOKUP($A627&amp;$E610,DATA!$F$1:$G$500,MATCH("FULL IN",DATA!$F$1:$G$1,0),0),$E610)</f>
        <v/>
      </c>
      <c r="F627" s="2" t="str">
        <f t="shared" si="109"/>
        <v/>
      </c>
      <c r="G627" s="2" t="str">
        <f>IFERROR(VLOOKUP(E627,[1]FINAL!$A$2:$M$699,MATCH("Team",[1]FINAL!$A$1:$K$1,0),0),"")</f>
        <v/>
      </c>
      <c r="I627" s="4" t="str">
        <f>IFERROR(VLOOKUP($A627&amp;$E610,DATA!$F$1:$H$500,MATCH("FULL OUT",DATA!$F$1:$H$1,0),0),"")</f>
        <v/>
      </c>
    </row>
    <row r="628" spans="1:9" x14ac:dyDescent="0.25">
      <c r="A628" s="6" t="str">
        <f t="shared" si="108"/>
        <v>GW37</v>
      </c>
      <c r="B628" s="7">
        <v>12</v>
      </c>
      <c r="C628" s="7" t="str">
        <f t="shared" si="107"/>
        <v>GW37-12</v>
      </c>
      <c r="D628" s="1" t="str">
        <f>IFERROR(VLOOKUP(E628,[1]FINAL!$A$2:$J$699,MATCH("Pos",[1]FINAL!$A$1:$J$1,0),0),"")</f>
        <v/>
      </c>
      <c r="E628" s="4" t="str">
        <f>IFERROR(VLOOKUP($A628&amp;$E611,DATA!$F$1:$G$500,MATCH("FULL IN",DATA!$F$1:$G$1,0),0),$E611)</f>
        <v/>
      </c>
      <c r="F628" s="2" t="str">
        <f t="shared" si="109"/>
        <v/>
      </c>
      <c r="G628" s="2" t="str">
        <f>IFERROR(VLOOKUP(E628,[1]FINAL!$A$2:$M$699,MATCH("Team",[1]FINAL!$A$1:$K$1,0),0),"")</f>
        <v/>
      </c>
      <c r="I628" s="4" t="str">
        <f>IFERROR(VLOOKUP($A628&amp;$E611,DATA!$F$1:$H$500,MATCH("FULL OUT",DATA!$F$1:$H$1,0),0),"")</f>
        <v/>
      </c>
    </row>
    <row r="629" spans="1:9" x14ac:dyDescent="0.25">
      <c r="A629" s="6" t="str">
        <f t="shared" si="108"/>
        <v>GW37</v>
      </c>
      <c r="B629" s="7">
        <v>13</v>
      </c>
      <c r="C629" s="7" t="str">
        <f t="shared" si="107"/>
        <v>GW37-13</v>
      </c>
      <c r="D629" s="1" t="str">
        <f>IFERROR(VLOOKUP(E629,[1]FINAL!$A$2:$J$699,MATCH("Pos",[1]FINAL!$A$1:$J$1,0),0),"")</f>
        <v/>
      </c>
      <c r="E629" s="4" t="str">
        <f>IFERROR(VLOOKUP($A629&amp;$E612,DATA!$F$1:$G$500,MATCH("FULL IN",DATA!$F$1:$G$1,0),0),$E612)</f>
        <v/>
      </c>
      <c r="F629" s="2" t="str">
        <f t="shared" si="109"/>
        <v/>
      </c>
      <c r="G629" s="2" t="str">
        <f>IFERROR(VLOOKUP(E629,[1]FINAL!$A$2:$M$699,MATCH("Team",[1]FINAL!$A$1:$K$1,0),0),"")</f>
        <v/>
      </c>
      <c r="I629" s="4" t="str">
        <f>IFERROR(VLOOKUP($A629&amp;$E612,DATA!$F$1:$H$500,MATCH("FULL OUT",DATA!$F$1:$H$1,0),0),"")</f>
        <v/>
      </c>
    </row>
    <row r="630" spans="1:9" x14ac:dyDescent="0.25">
      <c r="A630" s="6" t="str">
        <f t="shared" si="108"/>
        <v>GW37</v>
      </c>
      <c r="B630" s="7">
        <v>14</v>
      </c>
      <c r="C630" s="7" t="str">
        <f t="shared" si="107"/>
        <v>GW37-14</v>
      </c>
      <c r="D630" s="1" t="str">
        <f>IFERROR(VLOOKUP(E630,[1]FINAL!$A$2:$J$699,MATCH("Pos",[1]FINAL!$A$1:$J$1,0),0),"")</f>
        <v/>
      </c>
      <c r="E630" s="4" t="str">
        <f>IFERROR(VLOOKUP($A630&amp;$E613,DATA!$F$1:$G$500,MATCH("FULL IN",DATA!$F$1:$G$1,0),0),$E613)</f>
        <v/>
      </c>
      <c r="F630" s="2" t="str">
        <f t="shared" si="109"/>
        <v/>
      </c>
      <c r="G630" s="2" t="str">
        <f>IFERROR(VLOOKUP(E630,[1]FINAL!$A$2:$M$699,MATCH("Team",[1]FINAL!$A$1:$K$1,0),0),"")</f>
        <v/>
      </c>
      <c r="I630" s="4" t="str">
        <f>IFERROR(VLOOKUP($A630&amp;$E613,DATA!$F$1:$H$500,MATCH("FULL OUT",DATA!$F$1:$H$1,0),0),"")</f>
        <v/>
      </c>
    </row>
    <row r="631" spans="1:9" x14ac:dyDescent="0.25">
      <c r="A631" s="6" t="str">
        <f t="shared" si="108"/>
        <v>GW37</v>
      </c>
      <c r="B631" s="7">
        <v>15</v>
      </c>
      <c r="C631" s="7" t="str">
        <f t="shared" si="107"/>
        <v>GW37-15</v>
      </c>
      <c r="D631" s="1" t="str">
        <f>IFERROR(VLOOKUP(E631,[1]FINAL!$A$2:$J$699,MATCH("Pos",[1]FINAL!$A$1:$J$1,0),0),"")</f>
        <v/>
      </c>
      <c r="E631" s="4" t="str">
        <f>IFERROR(VLOOKUP($A631&amp;$E614,DATA!$F$1:$G$500,MATCH("FULL IN",DATA!$F$1:$G$1,0),0),$E614)</f>
        <v/>
      </c>
      <c r="F631" s="2" t="str">
        <f t="shared" si="109"/>
        <v/>
      </c>
      <c r="G631" s="2" t="str">
        <f>IFERROR(VLOOKUP(E631,[1]FINAL!$A$2:$M$699,MATCH("Team",[1]FINAL!$A$1:$K$1,0),0),"")</f>
        <v/>
      </c>
      <c r="I631" s="4" t="str">
        <f>IFERROR(VLOOKUP($A631&amp;$E614,DATA!$F$1:$H$500,MATCH("FULL OUT",DATA!$F$1:$H$1,0),0),"")</f>
        <v/>
      </c>
    </row>
    <row r="634" spans="1:9" x14ac:dyDescent="0.25">
      <c r="A634" s="6" t="s">
        <v>40</v>
      </c>
      <c r="B634" s="7">
        <v>1</v>
      </c>
      <c r="C634" s="7" t="str">
        <f>A634&amp;-B634</f>
        <v>GW38-1</v>
      </c>
      <c r="D634" s="1" t="str">
        <f>IFERROR(VLOOKUP(E634,[1]FINAL!$A$2:$J$699,MATCH("Pos",[1]FINAL!$A$1:$J$1,0),0),"")</f>
        <v/>
      </c>
      <c r="E634" s="4" t="str">
        <f>IFERROR(VLOOKUP($A634&amp;$E617,DATA!$F$1:$G$500,MATCH("FULL IN",DATA!$F$1:$G$1,0),0),$E617)</f>
        <v>Player Name</v>
      </c>
      <c r="G634" s="2" t="str">
        <f>IFERROR(VLOOKUP(E634,[1]FINAL!$A$2:$M$699,MATCH("Team",[1]FINAL!$A$1:$K$1,0),0),"")</f>
        <v/>
      </c>
      <c r="I634" s="4" t="str">
        <f>IFERROR(VLOOKUP($A634&amp;$E617,DATA!$F$1:$H$500,MATCH("FULL OUT",DATA!$F$1:$H$1,0),0),"")</f>
        <v/>
      </c>
    </row>
    <row r="635" spans="1:9" x14ac:dyDescent="0.25">
      <c r="A635" s="6" t="str">
        <f>A634</f>
        <v>GW38</v>
      </c>
      <c r="B635" s="7">
        <v>2</v>
      </c>
      <c r="C635" s="7" t="str">
        <f t="shared" ref="C635:C648" si="110">A635&amp;-B635</f>
        <v>GW38-2</v>
      </c>
      <c r="D635" s="1" t="str">
        <f>IFERROR(VLOOKUP(E635,[1]FINAL!$A$2:$J$699,MATCH("Pos",[1]FINAL!$A$1:$J$1,0),0),"")</f>
        <v/>
      </c>
      <c r="E635" s="4" t="str">
        <f>IFERROR(VLOOKUP($A635&amp;$E618,DATA!$F$1:$G$500,MATCH("FULL IN",DATA!$F$1:$G$1,0),0),$E618)</f>
        <v/>
      </c>
      <c r="F635" s="2" t="str">
        <f>IF(Z635="","","IN")</f>
        <v/>
      </c>
      <c r="G635" s="2" t="str">
        <f>IFERROR(VLOOKUP(E635,[1]FINAL!$A$2:$M$699,MATCH("Team",[1]FINAL!$A$1:$K$1,0),0),"")</f>
        <v/>
      </c>
      <c r="I635" s="4" t="str">
        <f>IFERROR(VLOOKUP($A635&amp;$E618,DATA!$F$1:$H$500,MATCH("FULL OUT",DATA!$F$1:$H$1,0),0),"")</f>
        <v/>
      </c>
    </row>
    <row r="636" spans="1:9" x14ac:dyDescent="0.25">
      <c r="A636" s="6" t="str">
        <f t="shared" ref="A636:A648" si="111">A635</f>
        <v>GW38</v>
      </c>
      <c r="B636" s="7">
        <v>3</v>
      </c>
      <c r="C636" s="7" t="str">
        <f t="shared" si="110"/>
        <v>GW38-3</v>
      </c>
      <c r="D636" s="1" t="str">
        <f>IFERROR(VLOOKUP(E636,[1]FINAL!$A$2:$J$699,MATCH("Pos",[1]FINAL!$A$1:$J$1,0),0),"")</f>
        <v/>
      </c>
      <c r="E636" s="4" t="str">
        <f>IFERROR(VLOOKUP($A636&amp;$E619,DATA!$F$1:$G$500,MATCH("FULL IN",DATA!$F$1:$G$1,0),0),$E619)</f>
        <v/>
      </c>
      <c r="F636" s="2" t="str">
        <f t="shared" ref="F636:F648" si="112">IF(Z636="","","IN")</f>
        <v/>
      </c>
      <c r="G636" s="2" t="str">
        <f>IFERROR(VLOOKUP(E636,[1]FINAL!$A$2:$M$699,MATCH("Team",[1]FINAL!$A$1:$K$1,0),0),"")</f>
        <v/>
      </c>
      <c r="I636" s="4" t="str">
        <f>IFERROR(VLOOKUP($A636&amp;$E619,DATA!$F$1:$H$500,MATCH("FULL OUT",DATA!$F$1:$H$1,0),0),"")</f>
        <v/>
      </c>
    </row>
    <row r="637" spans="1:9" x14ac:dyDescent="0.25">
      <c r="A637" s="6" t="str">
        <f t="shared" si="111"/>
        <v>GW38</v>
      </c>
      <c r="B637" s="7">
        <v>4</v>
      </c>
      <c r="C637" s="7" t="str">
        <f t="shared" si="110"/>
        <v>GW38-4</v>
      </c>
      <c r="D637" s="1" t="str">
        <f>IFERROR(VLOOKUP(E637,[1]FINAL!$A$2:$J$699,MATCH("Pos",[1]FINAL!$A$1:$J$1,0),0),"")</f>
        <v/>
      </c>
      <c r="E637" s="4" t="str">
        <f>IFERROR(VLOOKUP($A637&amp;$E620,DATA!$F$1:$G$500,MATCH("FULL IN",DATA!$F$1:$G$1,0),0),$E620)</f>
        <v/>
      </c>
      <c r="F637" s="2" t="str">
        <f t="shared" si="112"/>
        <v/>
      </c>
      <c r="G637" s="2" t="str">
        <f>IFERROR(VLOOKUP(E637,[1]FINAL!$A$2:$M$699,MATCH("Team",[1]FINAL!$A$1:$K$1,0),0),"")</f>
        <v/>
      </c>
      <c r="I637" s="4" t="str">
        <f>IFERROR(VLOOKUP($A637&amp;$E620,DATA!$F$1:$H$500,MATCH("FULL OUT",DATA!$F$1:$H$1,0),0),"")</f>
        <v/>
      </c>
    </row>
    <row r="638" spans="1:9" x14ac:dyDescent="0.25">
      <c r="A638" s="6" t="str">
        <f t="shared" si="111"/>
        <v>GW38</v>
      </c>
      <c r="B638" s="7">
        <v>5</v>
      </c>
      <c r="C638" s="7" t="str">
        <f t="shared" si="110"/>
        <v>GW38-5</v>
      </c>
      <c r="D638" s="1" t="str">
        <f>IFERROR(VLOOKUP(E638,[1]FINAL!$A$2:$J$699,MATCH("Pos",[1]FINAL!$A$1:$J$1,0),0),"")</f>
        <v/>
      </c>
      <c r="E638" s="4" t="str">
        <f>IFERROR(VLOOKUP($A638&amp;$E621,DATA!$F$1:$G$500,MATCH("FULL IN",DATA!$F$1:$G$1,0),0),$E621)</f>
        <v/>
      </c>
      <c r="F638" s="2" t="str">
        <f t="shared" si="112"/>
        <v/>
      </c>
      <c r="G638" s="2" t="str">
        <f>IFERROR(VLOOKUP(E638,[1]FINAL!$A$2:$M$699,MATCH("Team",[1]FINAL!$A$1:$K$1,0),0),"")</f>
        <v/>
      </c>
      <c r="I638" s="4" t="str">
        <f>IFERROR(VLOOKUP($A638&amp;$E621,DATA!$F$1:$H$500,MATCH("FULL OUT",DATA!$F$1:$H$1,0),0),"")</f>
        <v/>
      </c>
    </row>
    <row r="639" spans="1:9" x14ac:dyDescent="0.25">
      <c r="A639" s="6" t="str">
        <f t="shared" si="111"/>
        <v>GW38</v>
      </c>
      <c r="B639" s="7">
        <v>6</v>
      </c>
      <c r="C639" s="7" t="str">
        <f t="shared" si="110"/>
        <v>GW38-6</v>
      </c>
      <c r="D639" s="1" t="str">
        <f>IFERROR(VLOOKUP(E639,[1]FINAL!$A$2:$J$699,MATCH("Pos",[1]FINAL!$A$1:$J$1,0),0),"")</f>
        <v/>
      </c>
      <c r="E639" s="4" t="str">
        <f>IFERROR(VLOOKUP($A639&amp;$E622,DATA!$F$1:$G$500,MATCH("FULL IN",DATA!$F$1:$G$1,0),0),$E622)</f>
        <v/>
      </c>
      <c r="F639" s="2" t="str">
        <f t="shared" si="112"/>
        <v/>
      </c>
      <c r="G639" s="2" t="str">
        <f>IFERROR(VLOOKUP(E639,[1]FINAL!$A$2:$M$699,MATCH("Team",[1]FINAL!$A$1:$K$1,0),0),"")</f>
        <v/>
      </c>
      <c r="I639" s="4" t="str">
        <f>IFERROR(VLOOKUP($A639&amp;$E622,DATA!$F$1:$H$500,MATCH("FULL OUT",DATA!$F$1:$H$1,0),0),"")</f>
        <v/>
      </c>
    </row>
    <row r="640" spans="1:9" x14ac:dyDescent="0.25">
      <c r="A640" s="6" t="str">
        <f t="shared" si="111"/>
        <v>GW38</v>
      </c>
      <c r="B640" s="7">
        <v>7</v>
      </c>
      <c r="C640" s="7" t="str">
        <f t="shared" si="110"/>
        <v>GW38-7</v>
      </c>
      <c r="D640" s="1" t="str">
        <f>IFERROR(VLOOKUP(E640,[1]FINAL!$A$2:$J$699,MATCH("Pos",[1]FINAL!$A$1:$J$1,0),0),"")</f>
        <v/>
      </c>
      <c r="E640" s="4" t="str">
        <f>IFERROR(VLOOKUP($A640&amp;$E623,DATA!$F$1:$G$500,MATCH("FULL IN",DATA!$F$1:$G$1,0),0),$E623)</f>
        <v/>
      </c>
      <c r="F640" s="2" t="str">
        <f t="shared" si="112"/>
        <v/>
      </c>
      <c r="G640" s="2" t="str">
        <f>IFERROR(VLOOKUP(E640,[1]FINAL!$A$2:$M$699,MATCH("Team",[1]FINAL!$A$1:$K$1,0),0),"")</f>
        <v/>
      </c>
      <c r="I640" s="4" t="str">
        <f>IFERROR(VLOOKUP($A640&amp;$E623,DATA!$F$1:$H$500,MATCH("FULL OUT",DATA!$F$1:$H$1,0),0),"")</f>
        <v/>
      </c>
    </row>
    <row r="641" spans="1:9" x14ac:dyDescent="0.25">
      <c r="A641" s="6" t="str">
        <f t="shared" si="111"/>
        <v>GW38</v>
      </c>
      <c r="B641" s="7">
        <v>8</v>
      </c>
      <c r="C641" s="7" t="str">
        <f t="shared" si="110"/>
        <v>GW38-8</v>
      </c>
      <c r="D641" s="1" t="str">
        <f>IFERROR(VLOOKUP(E641,[1]FINAL!$A$2:$J$699,MATCH("Pos",[1]FINAL!$A$1:$J$1,0),0),"")</f>
        <v/>
      </c>
      <c r="E641" s="4" t="str">
        <f>IFERROR(VLOOKUP($A641&amp;$E624,DATA!$F$1:$G$500,MATCH("FULL IN",DATA!$F$1:$G$1,0),0),$E624)</f>
        <v/>
      </c>
      <c r="F641" s="2" t="str">
        <f t="shared" si="112"/>
        <v/>
      </c>
      <c r="G641" s="2" t="str">
        <f>IFERROR(VLOOKUP(E641,[1]FINAL!$A$2:$M$699,MATCH("Team",[1]FINAL!$A$1:$K$1,0),0),"")</f>
        <v/>
      </c>
      <c r="I641" s="4" t="str">
        <f>IFERROR(VLOOKUP($A641&amp;$E624,DATA!$F$1:$H$500,MATCH("FULL OUT",DATA!$F$1:$H$1,0),0),"")</f>
        <v/>
      </c>
    </row>
    <row r="642" spans="1:9" x14ac:dyDescent="0.25">
      <c r="A642" s="6" t="str">
        <f t="shared" si="111"/>
        <v>GW38</v>
      </c>
      <c r="B642" s="7">
        <v>9</v>
      </c>
      <c r="C642" s="7" t="str">
        <f t="shared" si="110"/>
        <v>GW38-9</v>
      </c>
      <c r="D642" s="1" t="str">
        <f>IFERROR(VLOOKUP(E642,[1]FINAL!$A$2:$J$699,MATCH("Pos",[1]FINAL!$A$1:$J$1,0),0),"")</f>
        <v/>
      </c>
      <c r="E642" s="4" t="str">
        <f>IFERROR(VLOOKUP($A642&amp;$E625,DATA!$F$1:$G$500,MATCH("FULL IN",DATA!$F$1:$G$1,0),0),$E625)</f>
        <v/>
      </c>
      <c r="F642" s="2" t="str">
        <f t="shared" si="112"/>
        <v/>
      </c>
      <c r="G642" s="2" t="str">
        <f>IFERROR(VLOOKUP(E642,[1]FINAL!$A$2:$M$699,MATCH("Team",[1]FINAL!$A$1:$K$1,0),0),"")</f>
        <v/>
      </c>
      <c r="I642" s="4" t="str">
        <f>IFERROR(VLOOKUP($A642&amp;$E625,DATA!$F$1:$H$500,MATCH("FULL OUT",DATA!$F$1:$H$1,0),0),"")</f>
        <v/>
      </c>
    </row>
    <row r="643" spans="1:9" x14ac:dyDescent="0.25">
      <c r="A643" s="6" t="str">
        <f t="shared" si="111"/>
        <v>GW38</v>
      </c>
      <c r="B643" s="7">
        <v>10</v>
      </c>
      <c r="C643" s="7" t="str">
        <f t="shared" si="110"/>
        <v>GW38-10</v>
      </c>
      <c r="D643" s="1" t="str">
        <f>IFERROR(VLOOKUP(E643,[1]FINAL!$A$2:$J$699,MATCH("Pos",[1]FINAL!$A$1:$J$1,0),0),"")</f>
        <v/>
      </c>
      <c r="E643" s="4" t="str">
        <f>IFERROR(VLOOKUP($A643&amp;$E626,DATA!$F$1:$G$500,MATCH("FULL IN",DATA!$F$1:$G$1,0),0),$E626)</f>
        <v/>
      </c>
      <c r="F643" s="2" t="str">
        <f t="shared" si="112"/>
        <v/>
      </c>
      <c r="G643" s="2" t="str">
        <f>IFERROR(VLOOKUP(E643,[1]FINAL!$A$2:$M$699,MATCH("Team",[1]FINAL!$A$1:$K$1,0),0),"")</f>
        <v/>
      </c>
      <c r="I643" s="4" t="str">
        <f>IFERROR(VLOOKUP($A643&amp;$E626,DATA!$F$1:$H$500,MATCH("FULL OUT",DATA!$F$1:$H$1,0),0),"")</f>
        <v/>
      </c>
    </row>
    <row r="644" spans="1:9" x14ac:dyDescent="0.25">
      <c r="A644" s="6" t="str">
        <f t="shared" si="111"/>
        <v>GW38</v>
      </c>
      <c r="B644" s="7">
        <v>11</v>
      </c>
      <c r="C644" s="7" t="str">
        <f t="shared" si="110"/>
        <v>GW38-11</v>
      </c>
      <c r="D644" s="1" t="str">
        <f>IFERROR(VLOOKUP(E644,[1]FINAL!$A$2:$J$699,MATCH("Pos",[1]FINAL!$A$1:$J$1,0),0),"")</f>
        <v/>
      </c>
      <c r="E644" s="4" t="str">
        <f>IFERROR(VLOOKUP($A644&amp;$E627,DATA!$F$1:$G$500,MATCH("FULL IN",DATA!$F$1:$G$1,0),0),$E627)</f>
        <v/>
      </c>
      <c r="F644" s="2" t="str">
        <f t="shared" si="112"/>
        <v/>
      </c>
      <c r="G644" s="2" t="str">
        <f>IFERROR(VLOOKUP(E644,[1]FINAL!$A$2:$M$699,MATCH("Team",[1]FINAL!$A$1:$K$1,0),0),"")</f>
        <v/>
      </c>
      <c r="I644" s="4" t="str">
        <f>IFERROR(VLOOKUP($A644&amp;$E627,DATA!$F$1:$H$500,MATCH("FULL OUT",DATA!$F$1:$H$1,0),0),"")</f>
        <v/>
      </c>
    </row>
    <row r="645" spans="1:9" x14ac:dyDescent="0.25">
      <c r="A645" s="6" t="str">
        <f t="shared" si="111"/>
        <v>GW38</v>
      </c>
      <c r="B645" s="7">
        <v>12</v>
      </c>
      <c r="C645" s="7" t="str">
        <f t="shared" si="110"/>
        <v>GW38-12</v>
      </c>
      <c r="D645" s="1" t="str">
        <f>IFERROR(VLOOKUP(E645,[1]FINAL!$A$2:$J$699,MATCH("Pos",[1]FINAL!$A$1:$J$1,0),0),"")</f>
        <v/>
      </c>
      <c r="E645" s="4" t="str">
        <f>IFERROR(VLOOKUP($A645&amp;$E628,DATA!$F$1:$G$500,MATCH("FULL IN",DATA!$F$1:$G$1,0),0),$E628)</f>
        <v/>
      </c>
      <c r="F645" s="2" t="str">
        <f t="shared" si="112"/>
        <v/>
      </c>
      <c r="G645" s="2" t="str">
        <f>IFERROR(VLOOKUP(E645,[1]FINAL!$A$2:$M$699,MATCH("Team",[1]FINAL!$A$1:$K$1,0),0),"")</f>
        <v/>
      </c>
      <c r="I645" s="4" t="str">
        <f>IFERROR(VLOOKUP($A645&amp;$E628,DATA!$F$1:$H$500,MATCH("FULL OUT",DATA!$F$1:$H$1,0),0),"")</f>
        <v/>
      </c>
    </row>
    <row r="646" spans="1:9" x14ac:dyDescent="0.25">
      <c r="A646" s="6" t="str">
        <f t="shared" si="111"/>
        <v>GW38</v>
      </c>
      <c r="B646" s="7">
        <v>13</v>
      </c>
      <c r="C646" s="7" t="str">
        <f t="shared" si="110"/>
        <v>GW38-13</v>
      </c>
      <c r="D646" s="1" t="str">
        <f>IFERROR(VLOOKUP(E646,[1]FINAL!$A$2:$J$699,MATCH("Pos",[1]FINAL!$A$1:$J$1,0),0),"")</f>
        <v/>
      </c>
      <c r="E646" s="4" t="str">
        <f>IFERROR(VLOOKUP($A646&amp;$E629,DATA!$F$1:$G$500,MATCH("FULL IN",DATA!$F$1:$G$1,0),0),$E629)</f>
        <v/>
      </c>
      <c r="F646" s="2" t="str">
        <f t="shared" si="112"/>
        <v/>
      </c>
      <c r="G646" s="2" t="str">
        <f>IFERROR(VLOOKUP(E646,[1]FINAL!$A$2:$M$699,MATCH("Team",[1]FINAL!$A$1:$K$1,0),0),"")</f>
        <v/>
      </c>
      <c r="I646" s="4" t="str">
        <f>IFERROR(VLOOKUP($A646&amp;$E629,DATA!$F$1:$H$500,MATCH("FULL OUT",DATA!$F$1:$H$1,0),0),"")</f>
        <v/>
      </c>
    </row>
    <row r="647" spans="1:9" x14ac:dyDescent="0.25">
      <c r="A647" s="6" t="str">
        <f t="shared" si="111"/>
        <v>GW38</v>
      </c>
      <c r="B647" s="7">
        <v>14</v>
      </c>
      <c r="C647" s="7" t="str">
        <f t="shared" si="110"/>
        <v>GW38-14</v>
      </c>
      <c r="D647" s="1" t="str">
        <f>IFERROR(VLOOKUP(E647,[1]FINAL!$A$2:$J$699,MATCH("Pos",[1]FINAL!$A$1:$J$1,0),0),"")</f>
        <v/>
      </c>
      <c r="E647" s="4" t="str">
        <f>IFERROR(VLOOKUP($A647&amp;$E630,DATA!$F$1:$G$500,MATCH("FULL IN",DATA!$F$1:$G$1,0),0),$E630)</f>
        <v/>
      </c>
      <c r="F647" s="2" t="str">
        <f t="shared" si="112"/>
        <v/>
      </c>
      <c r="G647" s="2" t="str">
        <f>IFERROR(VLOOKUP(E647,[1]FINAL!$A$2:$M$699,MATCH("Team",[1]FINAL!$A$1:$K$1,0),0),"")</f>
        <v/>
      </c>
      <c r="I647" s="4" t="str">
        <f>IFERROR(VLOOKUP($A647&amp;$E630,DATA!$F$1:$H$500,MATCH("FULL OUT",DATA!$F$1:$H$1,0),0),"")</f>
        <v/>
      </c>
    </row>
    <row r="648" spans="1:9" x14ac:dyDescent="0.25">
      <c r="A648" s="6" t="str">
        <f t="shared" si="111"/>
        <v>GW38</v>
      </c>
      <c r="B648" s="7">
        <v>15</v>
      </c>
      <c r="C648" s="7" t="str">
        <f t="shared" si="110"/>
        <v>GW38-15</v>
      </c>
      <c r="D648" s="1" t="str">
        <f>IFERROR(VLOOKUP(E648,[1]FINAL!$A$2:$J$699,MATCH("Pos",[1]FINAL!$A$1:$J$1,0),0),"")</f>
        <v/>
      </c>
      <c r="E648" s="4" t="str">
        <f>IFERROR(VLOOKUP($A648&amp;$E631,DATA!$F$1:$G$500,MATCH("FULL IN",DATA!$F$1:$G$1,0),0),$E631)</f>
        <v/>
      </c>
      <c r="F648" s="2" t="str">
        <f t="shared" si="112"/>
        <v/>
      </c>
      <c r="G648" s="2" t="str">
        <f>IFERROR(VLOOKUP(E648,[1]FINAL!$A$2:$M$699,MATCH("Team",[1]FINAL!$A$1:$K$1,0),0),"")</f>
        <v/>
      </c>
      <c r="I648" s="4" t="str">
        <f>IFERROR(VLOOKUP($A648&amp;$E631,DATA!$F$1:$H$500,MATCH("FULL OUT",DATA!$F$1:$H$1,0),0),"")</f>
        <v/>
      </c>
    </row>
    <row r="651" spans="1:9" x14ac:dyDescent="0.25">
      <c r="A651" s="6" t="s">
        <v>53</v>
      </c>
      <c r="B651" s="7">
        <v>1</v>
      </c>
      <c r="C651" s="7" t="str">
        <f>A651&amp;-B651</f>
        <v>GW39-1</v>
      </c>
      <c r="D651" s="1" t="str">
        <f>IFERROR(VLOOKUP(E651,[1]FINAL!$A$2:$J$699,MATCH("Pos",[1]FINAL!$A$1:$J$1,0),0),"")</f>
        <v/>
      </c>
      <c r="E651" s="4" t="str">
        <f>IFERROR(VLOOKUP($A651&amp;$E634,DATA!$F$1:$G$500,MATCH("FULL IN",DATA!$F$1:$G$1,0),0),$E634)</f>
        <v>Player Name</v>
      </c>
      <c r="G651" s="2" t="str">
        <f>IFERROR(VLOOKUP(E651,[1]FINAL!$A$2:$M$699,MATCH("Team",[1]FINAL!$A$1:$K$1,0),0),"")</f>
        <v/>
      </c>
      <c r="I651" s="4" t="str">
        <f>IFERROR(VLOOKUP($A651&amp;$E634,DATA!$F$1:$H$500,MATCH("FULL OUT",DATA!$F$1:$H$1,0),0),"")</f>
        <v/>
      </c>
    </row>
    <row r="652" spans="1:9" x14ac:dyDescent="0.25">
      <c r="A652" s="6" t="str">
        <f>A651</f>
        <v>GW39</v>
      </c>
      <c r="B652" s="7">
        <v>2</v>
      </c>
      <c r="C652" s="7" t="str">
        <f t="shared" ref="C652:C665" si="113">A652&amp;-B652</f>
        <v>GW39-2</v>
      </c>
      <c r="D652" s="1" t="str">
        <f>IFERROR(VLOOKUP(E652,[1]FINAL!$A$2:$J$699,MATCH("Pos",[1]FINAL!$A$1:$J$1,0),0),"")</f>
        <v/>
      </c>
      <c r="E652" s="4" t="str">
        <f>IFERROR(VLOOKUP($A652&amp;$E635,DATA!$F$1:$G$500,MATCH("FULL IN",DATA!$F$1:$G$1,0),0),$E635)</f>
        <v/>
      </c>
      <c r="F652" s="2" t="str">
        <f>IF(Z652="","","IN")</f>
        <v/>
      </c>
      <c r="G652" s="2" t="str">
        <f>IFERROR(VLOOKUP(E652,[1]FINAL!$A$2:$M$699,MATCH("Team",[1]FINAL!$A$1:$K$1,0),0),"")</f>
        <v/>
      </c>
      <c r="I652" s="4" t="str">
        <f>IFERROR(VLOOKUP($A652&amp;$E635,DATA!$F$1:$H$500,MATCH("FULL OUT",DATA!$F$1:$H$1,0),0),"")</f>
        <v/>
      </c>
    </row>
    <row r="653" spans="1:9" x14ac:dyDescent="0.25">
      <c r="A653" s="6" t="str">
        <f t="shared" ref="A653:A665" si="114">A652</f>
        <v>GW39</v>
      </c>
      <c r="B653" s="7">
        <v>3</v>
      </c>
      <c r="C653" s="7" t="str">
        <f t="shared" si="113"/>
        <v>GW39-3</v>
      </c>
      <c r="D653" s="1" t="str">
        <f>IFERROR(VLOOKUP(E653,[1]FINAL!$A$2:$J$699,MATCH("Pos",[1]FINAL!$A$1:$J$1,0),0),"")</f>
        <v/>
      </c>
      <c r="E653" s="4" t="str">
        <f>IFERROR(VLOOKUP($A653&amp;$E636,DATA!$F$1:$G$500,MATCH("FULL IN",DATA!$F$1:$G$1,0),0),$E636)</f>
        <v/>
      </c>
      <c r="F653" s="2" t="str">
        <f t="shared" ref="F653:F665" si="115">IF(Z653="","","IN")</f>
        <v/>
      </c>
      <c r="G653" s="2" t="str">
        <f>IFERROR(VLOOKUP(E653,[1]FINAL!$A$2:$M$699,MATCH("Team",[1]FINAL!$A$1:$K$1,0),0),"")</f>
        <v/>
      </c>
      <c r="I653" s="4" t="str">
        <f>IFERROR(VLOOKUP($A653&amp;$E636,DATA!$F$1:$H$500,MATCH("FULL OUT",DATA!$F$1:$H$1,0),0),"")</f>
        <v/>
      </c>
    </row>
    <row r="654" spans="1:9" x14ac:dyDescent="0.25">
      <c r="A654" s="6" t="str">
        <f t="shared" si="114"/>
        <v>GW39</v>
      </c>
      <c r="B654" s="7">
        <v>4</v>
      </c>
      <c r="C654" s="7" t="str">
        <f t="shared" si="113"/>
        <v>GW39-4</v>
      </c>
      <c r="D654" s="1" t="str">
        <f>IFERROR(VLOOKUP(E654,[1]FINAL!$A$2:$J$699,MATCH("Pos",[1]FINAL!$A$1:$J$1,0),0),"")</f>
        <v/>
      </c>
      <c r="E654" s="4" t="str">
        <f>IFERROR(VLOOKUP($A654&amp;$E637,DATA!$F$1:$G$500,MATCH("FULL IN",DATA!$F$1:$G$1,0),0),$E637)</f>
        <v/>
      </c>
      <c r="F654" s="2" t="str">
        <f t="shared" si="115"/>
        <v/>
      </c>
      <c r="G654" s="2" t="str">
        <f>IFERROR(VLOOKUP(E654,[1]FINAL!$A$2:$M$699,MATCH("Team",[1]FINAL!$A$1:$K$1,0),0),"")</f>
        <v/>
      </c>
      <c r="I654" s="4" t="str">
        <f>IFERROR(VLOOKUP($A654&amp;$E637,DATA!$F$1:$H$500,MATCH("FULL OUT",DATA!$F$1:$H$1,0),0),"")</f>
        <v/>
      </c>
    </row>
    <row r="655" spans="1:9" x14ac:dyDescent="0.25">
      <c r="A655" s="6" t="str">
        <f t="shared" si="114"/>
        <v>GW39</v>
      </c>
      <c r="B655" s="7">
        <v>5</v>
      </c>
      <c r="C655" s="7" t="str">
        <f t="shared" si="113"/>
        <v>GW39-5</v>
      </c>
      <c r="D655" s="1" t="str">
        <f>IFERROR(VLOOKUP(E655,[1]FINAL!$A$2:$J$699,MATCH("Pos",[1]FINAL!$A$1:$J$1,0),0),"")</f>
        <v/>
      </c>
      <c r="E655" s="4" t="str">
        <f>IFERROR(VLOOKUP($A655&amp;$E638,DATA!$F$1:$G$500,MATCH("FULL IN",DATA!$F$1:$G$1,0),0),$E638)</f>
        <v/>
      </c>
      <c r="F655" s="2" t="str">
        <f t="shared" si="115"/>
        <v/>
      </c>
      <c r="G655" s="2" t="str">
        <f>IFERROR(VLOOKUP(E655,[1]FINAL!$A$2:$M$699,MATCH("Team",[1]FINAL!$A$1:$K$1,0),0),"")</f>
        <v/>
      </c>
      <c r="I655" s="4" t="str">
        <f>IFERROR(VLOOKUP($A655&amp;$E638,DATA!$F$1:$H$500,MATCH("FULL OUT",DATA!$F$1:$H$1,0),0),"")</f>
        <v/>
      </c>
    </row>
    <row r="656" spans="1:9" x14ac:dyDescent="0.25">
      <c r="A656" s="6" t="str">
        <f t="shared" si="114"/>
        <v>GW39</v>
      </c>
      <c r="B656" s="7">
        <v>6</v>
      </c>
      <c r="C656" s="7" t="str">
        <f t="shared" si="113"/>
        <v>GW39-6</v>
      </c>
      <c r="D656" s="1" t="str">
        <f>IFERROR(VLOOKUP(E656,[1]FINAL!$A$2:$J$699,MATCH("Pos",[1]FINAL!$A$1:$J$1,0),0),"")</f>
        <v/>
      </c>
      <c r="E656" s="4" t="str">
        <f>IFERROR(VLOOKUP($A656&amp;$E639,DATA!$F$1:$G$500,MATCH("FULL IN",DATA!$F$1:$G$1,0),0),$E639)</f>
        <v/>
      </c>
      <c r="F656" s="2" t="str">
        <f t="shared" si="115"/>
        <v/>
      </c>
      <c r="G656" s="2" t="str">
        <f>IFERROR(VLOOKUP(E656,[1]FINAL!$A$2:$M$699,MATCH("Team",[1]FINAL!$A$1:$K$1,0),0),"")</f>
        <v/>
      </c>
      <c r="I656" s="4" t="str">
        <f>IFERROR(VLOOKUP($A656&amp;$E639,DATA!$F$1:$H$500,MATCH("FULL OUT",DATA!$F$1:$H$1,0),0),"")</f>
        <v/>
      </c>
    </row>
    <row r="657" spans="1:9" x14ac:dyDescent="0.25">
      <c r="A657" s="6" t="str">
        <f t="shared" si="114"/>
        <v>GW39</v>
      </c>
      <c r="B657" s="7">
        <v>7</v>
      </c>
      <c r="C657" s="7" t="str">
        <f t="shared" si="113"/>
        <v>GW39-7</v>
      </c>
      <c r="D657" s="1" t="str">
        <f>IFERROR(VLOOKUP(E657,[1]FINAL!$A$2:$J$699,MATCH("Pos",[1]FINAL!$A$1:$J$1,0),0),"")</f>
        <v/>
      </c>
      <c r="E657" s="4" t="str">
        <f>IFERROR(VLOOKUP($A657&amp;$E640,DATA!$F$1:$G$500,MATCH("FULL IN",DATA!$F$1:$G$1,0),0),$E640)</f>
        <v/>
      </c>
      <c r="F657" s="2" t="str">
        <f t="shared" si="115"/>
        <v/>
      </c>
      <c r="G657" s="2" t="str">
        <f>IFERROR(VLOOKUP(E657,[1]FINAL!$A$2:$M$699,MATCH("Team",[1]FINAL!$A$1:$K$1,0),0),"")</f>
        <v/>
      </c>
      <c r="I657" s="4" t="str">
        <f>IFERROR(VLOOKUP($A657&amp;$E640,DATA!$F$1:$H$500,MATCH("FULL OUT",DATA!$F$1:$H$1,0),0),"")</f>
        <v/>
      </c>
    </row>
    <row r="658" spans="1:9" x14ac:dyDescent="0.25">
      <c r="A658" s="6" t="str">
        <f t="shared" si="114"/>
        <v>GW39</v>
      </c>
      <c r="B658" s="7">
        <v>8</v>
      </c>
      <c r="C658" s="7" t="str">
        <f t="shared" si="113"/>
        <v>GW39-8</v>
      </c>
      <c r="D658" s="1" t="str">
        <f>IFERROR(VLOOKUP(E658,[1]FINAL!$A$2:$J$699,MATCH("Pos",[1]FINAL!$A$1:$J$1,0),0),"")</f>
        <v/>
      </c>
      <c r="E658" s="4" t="str">
        <f>IFERROR(VLOOKUP($A658&amp;$E641,DATA!$F$1:$G$500,MATCH("FULL IN",DATA!$F$1:$G$1,0),0),$E641)</f>
        <v/>
      </c>
      <c r="F658" s="2" t="str">
        <f t="shared" si="115"/>
        <v/>
      </c>
      <c r="G658" s="2" t="str">
        <f>IFERROR(VLOOKUP(E658,[1]FINAL!$A$2:$M$699,MATCH("Team",[1]FINAL!$A$1:$K$1,0),0),"")</f>
        <v/>
      </c>
      <c r="I658" s="4" t="str">
        <f>IFERROR(VLOOKUP($A658&amp;$E641,DATA!$F$1:$H$500,MATCH("FULL OUT",DATA!$F$1:$H$1,0),0),"")</f>
        <v/>
      </c>
    </row>
    <row r="659" spans="1:9" x14ac:dyDescent="0.25">
      <c r="A659" s="6" t="str">
        <f t="shared" si="114"/>
        <v>GW39</v>
      </c>
      <c r="B659" s="7">
        <v>9</v>
      </c>
      <c r="C659" s="7" t="str">
        <f t="shared" si="113"/>
        <v>GW39-9</v>
      </c>
      <c r="D659" s="1" t="str">
        <f>IFERROR(VLOOKUP(E659,[1]FINAL!$A$2:$J$699,MATCH("Pos",[1]FINAL!$A$1:$J$1,0),0),"")</f>
        <v/>
      </c>
      <c r="E659" s="4" t="str">
        <f>IFERROR(VLOOKUP($A659&amp;$E642,DATA!$F$1:$G$500,MATCH("FULL IN",DATA!$F$1:$G$1,0),0),$E642)</f>
        <v/>
      </c>
      <c r="F659" s="2" t="str">
        <f t="shared" si="115"/>
        <v/>
      </c>
      <c r="G659" s="2" t="str">
        <f>IFERROR(VLOOKUP(E659,[1]FINAL!$A$2:$M$699,MATCH("Team",[1]FINAL!$A$1:$K$1,0),0),"")</f>
        <v/>
      </c>
      <c r="I659" s="4" t="str">
        <f>IFERROR(VLOOKUP($A659&amp;$E642,DATA!$F$1:$H$500,MATCH("FULL OUT",DATA!$F$1:$H$1,0),0),"")</f>
        <v/>
      </c>
    </row>
    <row r="660" spans="1:9" x14ac:dyDescent="0.25">
      <c r="A660" s="6" t="str">
        <f t="shared" si="114"/>
        <v>GW39</v>
      </c>
      <c r="B660" s="7">
        <v>10</v>
      </c>
      <c r="C660" s="7" t="str">
        <f t="shared" si="113"/>
        <v>GW39-10</v>
      </c>
      <c r="D660" s="1" t="str">
        <f>IFERROR(VLOOKUP(E660,[1]FINAL!$A$2:$J$699,MATCH("Pos",[1]FINAL!$A$1:$J$1,0),0),"")</f>
        <v/>
      </c>
      <c r="E660" s="4" t="str">
        <f>IFERROR(VLOOKUP($A660&amp;$E643,DATA!$F$1:$G$500,MATCH("FULL IN",DATA!$F$1:$G$1,0),0),$E643)</f>
        <v/>
      </c>
      <c r="F660" s="2" t="str">
        <f t="shared" si="115"/>
        <v/>
      </c>
      <c r="G660" s="2" t="str">
        <f>IFERROR(VLOOKUP(E660,[1]FINAL!$A$2:$M$699,MATCH("Team",[1]FINAL!$A$1:$K$1,0),0),"")</f>
        <v/>
      </c>
      <c r="I660" s="4" t="str">
        <f>IFERROR(VLOOKUP($A660&amp;$E643,DATA!$F$1:$H$500,MATCH("FULL OUT",DATA!$F$1:$H$1,0),0),"")</f>
        <v/>
      </c>
    </row>
    <row r="661" spans="1:9" x14ac:dyDescent="0.25">
      <c r="A661" s="6" t="str">
        <f t="shared" si="114"/>
        <v>GW39</v>
      </c>
      <c r="B661" s="7">
        <v>11</v>
      </c>
      <c r="C661" s="7" t="str">
        <f t="shared" si="113"/>
        <v>GW39-11</v>
      </c>
      <c r="D661" s="1" t="str">
        <f>IFERROR(VLOOKUP(E661,[1]FINAL!$A$2:$J$699,MATCH("Pos",[1]FINAL!$A$1:$J$1,0),0),"")</f>
        <v/>
      </c>
      <c r="E661" s="4" t="str">
        <f>IFERROR(VLOOKUP($A661&amp;$E644,DATA!$F$1:$G$500,MATCH("FULL IN",DATA!$F$1:$G$1,0),0),$E644)</f>
        <v/>
      </c>
      <c r="F661" s="2" t="str">
        <f t="shared" si="115"/>
        <v/>
      </c>
      <c r="G661" s="2" t="str">
        <f>IFERROR(VLOOKUP(E661,[1]FINAL!$A$2:$M$699,MATCH("Team",[1]FINAL!$A$1:$K$1,0),0),"")</f>
        <v/>
      </c>
      <c r="I661" s="4" t="str">
        <f>IFERROR(VLOOKUP($A661&amp;$E644,DATA!$F$1:$H$500,MATCH("FULL OUT",DATA!$F$1:$H$1,0),0),"")</f>
        <v/>
      </c>
    </row>
    <row r="662" spans="1:9" x14ac:dyDescent="0.25">
      <c r="A662" s="6" t="str">
        <f t="shared" si="114"/>
        <v>GW39</v>
      </c>
      <c r="B662" s="7">
        <v>12</v>
      </c>
      <c r="C662" s="7" t="str">
        <f t="shared" si="113"/>
        <v>GW39-12</v>
      </c>
      <c r="D662" s="1" t="str">
        <f>IFERROR(VLOOKUP(E662,[1]FINAL!$A$2:$J$699,MATCH("Pos",[1]FINAL!$A$1:$J$1,0),0),"")</f>
        <v/>
      </c>
      <c r="E662" s="4" t="str">
        <f>IFERROR(VLOOKUP($A662&amp;$E645,DATA!$F$1:$G$500,MATCH("FULL IN",DATA!$F$1:$G$1,0),0),$E645)</f>
        <v/>
      </c>
      <c r="F662" s="2" t="str">
        <f t="shared" si="115"/>
        <v/>
      </c>
      <c r="G662" s="2" t="str">
        <f>IFERROR(VLOOKUP(E662,[1]FINAL!$A$2:$M$699,MATCH("Team",[1]FINAL!$A$1:$K$1,0),0),"")</f>
        <v/>
      </c>
      <c r="I662" s="4" t="str">
        <f>IFERROR(VLOOKUP($A662&amp;$E645,DATA!$F$1:$H$500,MATCH("FULL OUT",DATA!$F$1:$H$1,0),0),"")</f>
        <v/>
      </c>
    </row>
    <row r="663" spans="1:9" x14ac:dyDescent="0.25">
      <c r="A663" s="6" t="str">
        <f t="shared" si="114"/>
        <v>GW39</v>
      </c>
      <c r="B663" s="7">
        <v>13</v>
      </c>
      <c r="C663" s="7" t="str">
        <f t="shared" si="113"/>
        <v>GW39-13</v>
      </c>
      <c r="D663" s="1" t="str">
        <f>IFERROR(VLOOKUP(E663,[1]FINAL!$A$2:$J$699,MATCH("Pos",[1]FINAL!$A$1:$J$1,0),0),"")</f>
        <v/>
      </c>
      <c r="E663" s="4" t="str">
        <f>IFERROR(VLOOKUP($A663&amp;$E646,DATA!$F$1:$G$500,MATCH("FULL IN",DATA!$F$1:$G$1,0),0),$E646)</f>
        <v/>
      </c>
      <c r="F663" s="2" t="str">
        <f t="shared" si="115"/>
        <v/>
      </c>
      <c r="G663" s="2" t="str">
        <f>IFERROR(VLOOKUP(E663,[1]FINAL!$A$2:$M$699,MATCH("Team",[1]FINAL!$A$1:$K$1,0),0),"")</f>
        <v/>
      </c>
      <c r="I663" s="4" t="str">
        <f>IFERROR(VLOOKUP($A663&amp;$E646,DATA!$F$1:$H$500,MATCH("FULL OUT",DATA!$F$1:$H$1,0),0),"")</f>
        <v/>
      </c>
    </row>
    <row r="664" spans="1:9" x14ac:dyDescent="0.25">
      <c r="A664" s="6" t="str">
        <f t="shared" si="114"/>
        <v>GW39</v>
      </c>
      <c r="B664" s="7">
        <v>14</v>
      </c>
      <c r="C664" s="7" t="str">
        <f t="shared" si="113"/>
        <v>GW39-14</v>
      </c>
      <c r="D664" s="1" t="str">
        <f>IFERROR(VLOOKUP(E664,[1]FINAL!$A$2:$J$699,MATCH("Pos",[1]FINAL!$A$1:$J$1,0),0),"")</f>
        <v/>
      </c>
      <c r="E664" s="4" t="str">
        <f>IFERROR(VLOOKUP($A664&amp;$E647,DATA!$F$1:$G$500,MATCH("FULL IN",DATA!$F$1:$G$1,0),0),$E647)</f>
        <v/>
      </c>
      <c r="F664" s="2" t="str">
        <f t="shared" si="115"/>
        <v/>
      </c>
      <c r="G664" s="2" t="str">
        <f>IFERROR(VLOOKUP(E664,[1]FINAL!$A$2:$M$699,MATCH("Team",[1]FINAL!$A$1:$K$1,0),0),"")</f>
        <v/>
      </c>
      <c r="I664" s="4" t="str">
        <f>IFERROR(VLOOKUP($A664&amp;$E647,DATA!$F$1:$H$500,MATCH("FULL OUT",DATA!$F$1:$H$1,0),0),"")</f>
        <v/>
      </c>
    </row>
    <row r="665" spans="1:9" x14ac:dyDescent="0.25">
      <c r="A665" s="6" t="str">
        <f t="shared" si="114"/>
        <v>GW39</v>
      </c>
      <c r="B665" s="7">
        <v>15</v>
      </c>
      <c r="C665" s="7" t="str">
        <f t="shared" si="113"/>
        <v>GW39-15</v>
      </c>
      <c r="D665" s="1" t="str">
        <f>IFERROR(VLOOKUP(E665,[1]FINAL!$A$2:$J$699,MATCH("Pos",[1]FINAL!$A$1:$J$1,0),0),"")</f>
        <v/>
      </c>
      <c r="E665" s="4" t="str">
        <f>IFERROR(VLOOKUP($A665&amp;$E648,DATA!$F$1:$G$500,MATCH("FULL IN",DATA!$F$1:$G$1,0),0),$E648)</f>
        <v/>
      </c>
      <c r="F665" s="2" t="str">
        <f t="shared" si="115"/>
        <v/>
      </c>
      <c r="G665" s="2" t="str">
        <f>IFERROR(VLOOKUP(E665,[1]FINAL!$A$2:$M$699,MATCH("Team",[1]FINAL!$A$1:$K$1,0),0),"")</f>
        <v/>
      </c>
      <c r="I665" s="4" t="str">
        <f>IFERROR(VLOOKUP($A665&amp;$E648,DATA!$F$1:$H$500,MATCH("FULL OUT",DATA!$F$1:$H$1,0),0),"")</f>
        <v/>
      </c>
    </row>
  </sheetData>
  <conditionalFormatting sqref="E22:E53">
    <cfRule type="expression" dxfId="73" priority="74">
      <formula>LEN($I22)&gt;2</formula>
    </cfRule>
  </conditionalFormatting>
  <conditionalFormatting sqref="I22:I53">
    <cfRule type="notContainsBlanks" dxfId="72" priority="73">
      <formula>LEN(TRIM(I22))&gt;0</formula>
    </cfRule>
  </conditionalFormatting>
  <conditionalFormatting sqref="E56:E70">
    <cfRule type="expression" dxfId="71" priority="72">
      <formula>LEN($I56)&gt;2</formula>
    </cfRule>
  </conditionalFormatting>
  <conditionalFormatting sqref="I56:I70">
    <cfRule type="notContainsBlanks" dxfId="70" priority="71">
      <formula>LEN(TRIM(I56))&gt;0</formula>
    </cfRule>
  </conditionalFormatting>
  <conditionalFormatting sqref="E73:E87">
    <cfRule type="expression" dxfId="69" priority="70">
      <formula>LEN($I73)&gt;2</formula>
    </cfRule>
  </conditionalFormatting>
  <conditionalFormatting sqref="I73:I87">
    <cfRule type="notContainsBlanks" dxfId="68" priority="69">
      <formula>LEN(TRIM(I73))&gt;0</formula>
    </cfRule>
  </conditionalFormatting>
  <conditionalFormatting sqref="E90:E104">
    <cfRule type="expression" dxfId="67" priority="68">
      <formula>LEN($I90)&gt;2</formula>
    </cfRule>
  </conditionalFormatting>
  <conditionalFormatting sqref="I90:I104">
    <cfRule type="notContainsBlanks" dxfId="66" priority="67">
      <formula>LEN(TRIM(I90))&gt;0</formula>
    </cfRule>
  </conditionalFormatting>
  <conditionalFormatting sqref="E107:E121">
    <cfRule type="expression" dxfId="65" priority="66">
      <formula>LEN($I107)&gt;2</formula>
    </cfRule>
  </conditionalFormatting>
  <conditionalFormatting sqref="I107:I121">
    <cfRule type="notContainsBlanks" dxfId="64" priority="65">
      <formula>LEN(TRIM(I107))&gt;0</formula>
    </cfRule>
  </conditionalFormatting>
  <conditionalFormatting sqref="E124:E138">
    <cfRule type="expression" dxfId="63" priority="64">
      <formula>LEN($I124)&gt;2</formula>
    </cfRule>
  </conditionalFormatting>
  <conditionalFormatting sqref="I124:I138">
    <cfRule type="notContainsBlanks" dxfId="62" priority="63">
      <formula>LEN(TRIM(I124))&gt;0</formula>
    </cfRule>
  </conditionalFormatting>
  <conditionalFormatting sqref="E141:E155">
    <cfRule type="expression" dxfId="61" priority="62">
      <formula>LEN($I141)&gt;2</formula>
    </cfRule>
  </conditionalFormatting>
  <conditionalFormatting sqref="I141:I155">
    <cfRule type="notContainsBlanks" dxfId="60" priority="61">
      <formula>LEN(TRIM(I141))&gt;0</formula>
    </cfRule>
  </conditionalFormatting>
  <conditionalFormatting sqref="E158:E172">
    <cfRule type="expression" dxfId="59" priority="60">
      <formula>LEN($I158)&gt;2</formula>
    </cfRule>
  </conditionalFormatting>
  <conditionalFormatting sqref="I158:I172">
    <cfRule type="notContainsBlanks" dxfId="58" priority="59">
      <formula>LEN(TRIM(I158))&gt;0</formula>
    </cfRule>
  </conditionalFormatting>
  <conditionalFormatting sqref="E175:E189">
    <cfRule type="expression" dxfId="57" priority="58">
      <formula>LEN($I175)&gt;2</formula>
    </cfRule>
  </conditionalFormatting>
  <conditionalFormatting sqref="I175:I189">
    <cfRule type="notContainsBlanks" dxfId="56" priority="57">
      <formula>LEN(TRIM(I175))&gt;0</formula>
    </cfRule>
  </conditionalFormatting>
  <conditionalFormatting sqref="E192:E206">
    <cfRule type="expression" dxfId="55" priority="56">
      <formula>LEN($I192)&gt;2</formula>
    </cfRule>
  </conditionalFormatting>
  <conditionalFormatting sqref="I192:I206">
    <cfRule type="notContainsBlanks" dxfId="54" priority="55">
      <formula>LEN(TRIM(I192))&gt;0</formula>
    </cfRule>
  </conditionalFormatting>
  <conditionalFormatting sqref="E209:E223">
    <cfRule type="expression" dxfId="53" priority="54">
      <formula>LEN($I209)&gt;2</formula>
    </cfRule>
  </conditionalFormatting>
  <conditionalFormatting sqref="I209:I223">
    <cfRule type="notContainsBlanks" dxfId="52" priority="53">
      <formula>LEN(TRIM(I209))&gt;0</formula>
    </cfRule>
  </conditionalFormatting>
  <conditionalFormatting sqref="E226:E240">
    <cfRule type="expression" dxfId="51" priority="52">
      <formula>LEN($I226)&gt;2</formula>
    </cfRule>
  </conditionalFormatting>
  <conditionalFormatting sqref="I226:I240">
    <cfRule type="notContainsBlanks" dxfId="50" priority="51">
      <formula>LEN(TRIM(I226))&gt;0</formula>
    </cfRule>
  </conditionalFormatting>
  <conditionalFormatting sqref="E243:E257">
    <cfRule type="expression" dxfId="49" priority="50">
      <formula>LEN($I243)&gt;2</formula>
    </cfRule>
  </conditionalFormatting>
  <conditionalFormatting sqref="I243:I257">
    <cfRule type="notContainsBlanks" dxfId="48" priority="49">
      <formula>LEN(TRIM(I243))&gt;0</formula>
    </cfRule>
  </conditionalFormatting>
  <conditionalFormatting sqref="E260:E274">
    <cfRule type="expression" dxfId="47" priority="48">
      <formula>LEN($I260)&gt;2</formula>
    </cfRule>
  </conditionalFormatting>
  <conditionalFormatting sqref="I260:I274">
    <cfRule type="notContainsBlanks" dxfId="46" priority="47">
      <formula>LEN(TRIM(I260))&gt;0</formula>
    </cfRule>
  </conditionalFormatting>
  <conditionalFormatting sqref="E277:E291">
    <cfRule type="expression" dxfId="45" priority="46">
      <formula>LEN($I277)&gt;2</formula>
    </cfRule>
  </conditionalFormatting>
  <conditionalFormatting sqref="I277:I291">
    <cfRule type="notContainsBlanks" dxfId="44" priority="45">
      <formula>LEN(TRIM(I277))&gt;0</formula>
    </cfRule>
  </conditionalFormatting>
  <conditionalFormatting sqref="E294:E308">
    <cfRule type="expression" dxfId="43" priority="44">
      <formula>LEN($I294)&gt;2</formula>
    </cfRule>
  </conditionalFormatting>
  <conditionalFormatting sqref="I294:I308">
    <cfRule type="notContainsBlanks" dxfId="42" priority="43">
      <formula>LEN(TRIM(I294))&gt;0</formula>
    </cfRule>
  </conditionalFormatting>
  <conditionalFormatting sqref="E311:E325">
    <cfRule type="expression" dxfId="41" priority="42">
      <formula>LEN($I311)&gt;2</formula>
    </cfRule>
  </conditionalFormatting>
  <conditionalFormatting sqref="I311:I325">
    <cfRule type="notContainsBlanks" dxfId="40" priority="41">
      <formula>LEN(TRIM(I311))&gt;0</formula>
    </cfRule>
  </conditionalFormatting>
  <conditionalFormatting sqref="E328:E342">
    <cfRule type="expression" dxfId="39" priority="40">
      <formula>LEN($I328)&gt;2</formula>
    </cfRule>
  </conditionalFormatting>
  <conditionalFormatting sqref="I328:I342">
    <cfRule type="notContainsBlanks" dxfId="38" priority="39">
      <formula>LEN(TRIM(I328))&gt;0</formula>
    </cfRule>
  </conditionalFormatting>
  <conditionalFormatting sqref="E345:E359">
    <cfRule type="expression" dxfId="37" priority="38">
      <formula>LEN($I345)&gt;2</formula>
    </cfRule>
  </conditionalFormatting>
  <conditionalFormatting sqref="I345:I359">
    <cfRule type="notContainsBlanks" dxfId="36" priority="37">
      <formula>LEN(TRIM(I345))&gt;0</formula>
    </cfRule>
  </conditionalFormatting>
  <conditionalFormatting sqref="E362:E376">
    <cfRule type="expression" dxfId="35" priority="36">
      <formula>LEN($I362)&gt;2</formula>
    </cfRule>
  </conditionalFormatting>
  <conditionalFormatting sqref="I362:I376">
    <cfRule type="notContainsBlanks" dxfId="34" priority="35">
      <formula>LEN(TRIM(I362))&gt;0</formula>
    </cfRule>
  </conditionalFormatting>
  <conditionalFormatting sqref="E379:E393">
    <cfRule type="expression" dxfId="33" priority="34">
      <formula>LEN($I379)&gt;2</formula>
    </cfRule>
  </conditionalFormatting>
  <conditionalFormatting sqref="I379:I393">
    <cfRule type="notContainsBlanks" dxfId="32" priority="33">
      <formula>LEN(TRIM(I379))&gt;0</formula>
    </cfRule>
  </conditionalFormatting>
  <conditionalFormatting sqref="E396:E410">
    <cfRule type="expression" dxfId="31" priority="32">
      <formula>LEN($I396)&gt;2</formula>
    </cfRule>
  </conditionalFormatting>
  <conditionalFormatting sqref="I396:I410">
    <cfRule type="notContainsBlanks" dxfId="30" priority="31">
      <formula>LEN(TRIM(I396))&gt;0</formula>
    </cfRule>
  </conditionalFormatting>
  <conditionalFormatting sqref="E413:E427">
    <cfRule type="expression" dxfId="29" priority="30">
      <formula>LEN($I413)&gt;2</formula>
    </cfRule>
  </conditionalFormatting>
  <conditionalFormatting sqref="I413:I427">
    <cfRule type="notContainsBlanks" dxfId="28" priority="29">
      <formula>LEN(TRIM(I413))&gt;0</formula>
    </cfRule>
  </conditionalFormatting>
  <conditionalFormatting sqref="E430:E444">
    <cfRule type="expression" dxfId="27" priority="28">
      <formula>LEN($I430)&gt;2</formula>
    </cfRule>
  </conditionalFormatting>
  <conditionalFormatting sqref="I430:I444">
    <cfRule type="notContainsBlanks" dxfId="26" priority="27">
      <formula>LEN(TRIM(I430))&gt;0</formula>
    </cfRule>
  </conditionalFormatting>
  <conditionalFormatting sqref="E447:E461">
    <cfRule type="expression" dxfId="25" priority="26">
      <formula>LEN($I447)&gt;2</formula>
    </cfRule>
  </conditionalFormatting>
  <conditionalFormatting sqref="I447:I461">
    <cfRule type="notContainsBlanks" dxfId="24" priority="25">
      <formula>LEN(TRIM(I447))&gt;0</formula>
    </cfRule>
  </conditionalFormatting>
  <conditionalFormatting sqref="E464:E478">
    <cfRule type="expression" dxfId="23" priority="24">
      <formula>LEN($I464)&gt;2</formula>
    </cfRule>
  </conditionalFormatting>
  <conditionalFormatting sqref="I464:I478">
    <cfRule type="notContainsBlanks" dxfId="22" priority="23">
      <formula>LEN(TRIM(I464))&gt;0</formula>
    </cfRule>
  </conditionalFormatting>
  <conditionalFormatting sqref="E481:E495">
    <cfRule type="expression" dxfId="21" priority="22">
      <formula>LEN($I481)&gt;2</formula>
    </cfRule>
  </conditionalFormatting>
  <conditionalFormatting sqref="I481:I495">
    <cfRule type="notContainsBlanks" dxfId="20" priority="21">
      <formula>LEN(TRIM(I481))&gt;0</formula>
    </cfRule>
  </conditionalFormatting>
  <conditionalFormatting sqref="E498:E512">
    <cfRule type="expression" dxfId="19" priority="20">
      <formula>LEN($I498)&gt;2</formula>
    </cfRule>
  </conditionalFormatting>
  <conditionalFormatting sqref="I498:I512">
    <cfRule type="notContainsBlanks" dxfId="18" priority="19">
      <formula>LEN(TRIM(I498))&gt;0</formula>
    </cfRule>
  </conditionalFormatting>
  <conditionalFormatting sqref="E515:E529">
    <cfRule type="expression" dxfId="17" priority="18">
      <formula>LEN($I515)&gt;2</formula>
    </cfRule>
  </conditionalFormatting>
  <conditionalFormatting sqref="I515:I529">
    <cfRule type="notContainsBlanks" dxfId="16" priority="17">
      <formula>LEN(TRIM(I515))&gt;0</formula>
    </cfRule>
  </conditionalFormatting>
  <conditionalFormatting sqref="E532:E546">
    <cfRule type="expression" dxfId="15" priority="16">
      <formula>LEN($I532)&gt;2</formula>
    </cfRule>
  </conditionalFormatting>
  <conditionalFormatting sqref="I532:I546">
    <cfRule type="notContainsBlanks" dxfId="14" priority="15">
      <formula>LEN(TRIM(I532))&gt;0</formula>
    </cfRule>
  </conditionalFormatting>
  <conditionalFormatting sqref="E549:E563">
    <cfRule type="expression" dxfId="13" priority="14">
      <formula>LEN($I549)&gt;2</formula>
    </cfRule>
  </conditionalFormatting>
  <conditionalFormatting sqref="I549:I563">
    <cfRule type="notContainsBlanks" dxfId="12" priority="13">
      <formula>LEN(TRIM(I549))&gt;0</formula>
    </cfRule>
  </conditionalFormatting>
  <conditionalFormatting sqref="E566:E580">
    <cfRule type="expression" dxfId="11" priority="12">
      <formula>LEN($I566)&gt;2</formula>
    </cfRule>
  </conditionalFormatting>
  <conditionalFormatting sqref="I566:I580">
    <cfRule type="notContainsBlanks" dxfId="10" priority="11">
      <formula>LEN(TRIM(I566))&gt;0</formula>
    </cfRule>
  </conditionalFormatting>
  <conditionalFormatting sqref="E583:E597">
    <cfRule type="expression" dxfId="9" priority="10">
      <formula>LEN($I583)&gt;2</formula>
    </cfRule>
  </conditionalFormatting>
  <conditionalFormatting sqref="I583:I597">
    <cfRule type="notContainsBlanks" dxfId="8" priority="9">
      <formula>LEN(TRIM(I583))&gt;0</formula>
    </cfRule>
  </conditionalFormatting>
  <conditionalFormatting sqref="E600:E614">
    <cfRule type="expression" dxfId="7" priority="8">
      <formula>LEN($I600)&gt;2</formula>
    </cfRule>
  </conditionalFormatting>
  <conditionalFormatting sqref="I600:I614">
    <cfRule type="notContainsBlanks" dxfId="6" priority="7">
      <formula>LEN(TRIM(I600))&gt;0</formula>
    </cfRule>
  </conditionalFormatting>
  <conditionalFormatting sqref="E617:E631">
    <cfRule type="expression" dxfId="5" priority="6">
      <formula>LEN($I617)&gt;2</formula>
    </cfRule>
  </conditionalFormatting>
  <conditionalFormatting sqref="I617:I631">
    <cfRule type="notContainsBlanks" dxfId="4" priority="5">
      <formula>LEN(TRIM(I617))&gt;0</formula>
    </cfRule>
  </conditionalFormatting>
  <conditionalFormatting sqref="E634:E648">
    <cfRule type="expression" dxfId="3" priority="4">
      <formula>LEN($I634)&gt;2</formula>
    </cfRule>
  </conditionalFormatting>
  <conditionalFormatting sqref="I634:I648">
    <cfRule type="notContainsBlanks" dxfId="2" priority="3">
      <formula>LEN(TRIM(I634))&gt;0</formula>
    </cfRule>
  </conditionalFormatting>
  <conditionalFormatting sqref="E651:E665">
    <cfRule type="expression" dxfId="1" priority="2">
      <formula>LEN($I651)&gt;2</formula>
    </cfRule>
  </conditionalFormatting>
  <conditionalFormatting sqref="I651:I665">
    <cfRule type="notContainsBlanks" dxfId="0" priority="1">
      <formula>LEN(TRIM(I651))&gt;0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5</xdr:col>
                <xdr:colOff>66675</xdr:colOff>
                <xdr:row>6</xdr:row>
                <xdr:rowOff>66675</xdr:rowOff>
              </to>
            </anchor>
          </controlPr>
        </control>
      </mc:Choice>
      <mc:Fallback>
        <control shapeId="1025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 xr:uid="{3C241E67-9933-42E0-9FA9-D195C0D51C36}">
          <x14:formula1>
            <xm:f>'Player List'!$A:$A</xm:f>
          </x14:formula1>
          <xm:sqref>E5:E20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011DC-1516-4781-B4D4-360DDAD62532}">
  <dimension ref="A1:K1120"/>
  <sheetViews>
    <sheetView topLeftCell="C1" workbookViewId="0">
      <selection activeCell="K13" sqref="K13"/>
    </sheetView>
  </sheetViews>
  <sheetFormatPr defaultRowHeight="16.5" x14ac:dyDescent="0.3"/>
  <cols>
    <col min="1" max="1" width="13.5" customWidth="1"/>
    <col min="2" max="2" width="26.625" customWidth="1"/>
    <col min="3" max="3" width="29.5" customWidth="1"/>
    <col min="4" max="4" width="12.625" customWidth="1"/>
    <col min="5" max="6" width="29.625" customWidth="1"/>
    <col min="7" max="7" width="27.75" customWidth="1"/>
    <col min="8" max="8" width="29.625" customWidth="1"/>
    <col min="9" max="9" width="12.625" customWidth="1"/>
    <col min="10" max="10" width="18.75" customWidth="1"/>
    <col min="11" max="11" width="28.5" customWidth="1"/>
  </cols>
  <sheetData>
    <row r="1" spans="1:11" s="3" customFormat="1" ht="14.25" x14ac:dyDescent="0.2">
      <c r="A1" s="3" t="str">
        <f>IF('[2]Transfer History'!A1=0,"",'[2]Transfer History'!A1)</f>
        <v>Time</v>
      </c>
      <c r="B1" s="3" t="str">
        <f>IF('[2]Transfer History'!B1=0,"",'[2]Transfer History'!B1)</f>
        <v>In</v>
      </c>
      <c r="C1" s="3" t="str">
        <f>IF('[2]Transfer History'!C1=0,"",'[2]Transfer History'!C1)</f>
        <v>Out</v>
      </c>
      <c r="D1" s="3" t="str">
        <f>IF('[2]Transfer History'!D1=0,"",'[2]Transfer History'!D1)</f>
        <v>Active</v>
      </c>
      <c r="E1" s="3" t="s">
        <v>5</v>
      </c>
      <c r="G1" s="3" t="s">
        <v>4</v>
      </c>
      <c r="H1" s="3" t="s">
        <v>5</v>
      </c>
      <c r="J1" s="11" t="str">
        <f>[1]FINAL!V1</f>
        <v>YC</v>
      </c>
      <c r="K1" s="3" t="str">
        <f>[1]FINAL!A1</f>
        <v>Player Name</v>
      </c>
    </row>
    <row r="2" spans="1:11" x14ac:dyDescent="0.3">
      <c r="A2" t="str">
        <f>IF('[2]Transfer History'!A2=0,"",'[2]Transfer History'!A2)</f>
        <v/>
      </c>
      <c r="B2" t="str">
        <f>IF('[2]Transfer History'!B2=0,"",'[2]Transfer History'!B2)</f>
        <v/>
      </c>
      <c r="C2" t="str">
        <f>IF('[2]Transfer History'!C2=0,"",'[2]Transfer History'!C2)</f>
        <v/>
      </c>
      <c r="D2" t="str">
        <f>IF(OR('[2]Transfer History'!D2=0,'[2]Transfer History'!D2="GW"&amp;TEAMS!$J$3),"",'[2]Transfer History'!D2)</f>
        <v/>
      </c>
      <c r="E2" t="str">
        <f>IFERROR(VLOOKUP(C2,$J:$K,MATCH("Player Name",$J$1:$K$1,0),0),"")</f>
        <v/>
      </c>
      <c r="F2" t="str">
        <f>D2&amp;E2</f>
        <v/>
      </c>
      <c r="G2" t="str">
        <f>IFERROR(VLOOKUP(B2,$J:$K,MATCH("Player Name",$J$1:$K$1,0),0),"")</f>
        <v/>
      </c>
      <c r="H2" t="str">
        <f>E2</f>
        <v/>
      </c>
      <c r="J2" s="10" t="str">
        <f>[1]FINAL!B2</f>
        <v>Haaland</v>
      </c>
      <c r="K2" t="str">
        <f>[1]FINAL!A2</f>
        <v>Erling Haaland</v>
      </c>
    </row>
    <row r="3" spans="1:11" x14ac:dyDescent="0.3">
      <c r="A3" t="str">
        <f>IF('[2]Transfer History'!A3=0,"",'[2]Transfer History'!A3)</f>
        <v/>
      </c>
      <c r="B3" t="str">
        <f>IF('[2]Transfer History'!B3=0,"",'[2]Transfer History'!B3)</f>
        <v/>
      </c>
      <c r="C3" t="str">
        <f>IF('[2]Transfer History'!C3=0,"",'[2]Transfer History'!C3)</f>
        <v/>
      </c>
      <c r="D3" t="str">
        <f>IF(OR('[2]Transfer History'!D3=0,'[2]Transfer History'!D3="GW"&amp;TEAMS!$J$3),"",'[2]Transfer History'!D3)</f>
        <v/>
      </c>
      <c r="E3" t="str">
        <f t="shared" ref="E3:E66" si="0">IFERROR(VLOOKUP(C3,$J:$K,MATCH("Player Name",$J$1:$K$1,0),0),"")</f>
        <v/>
      </c>
      <c r="F3" t="str">
        <f t="shared" ref="F3:F66" si="1">D3&amp;E3</f>
        <v/>
      </c>
      <c r="G3" t="str">
        <f t="shared" ref="G3:G66" si="2">IFERROR(VLOOKUP(B3,$J:$K,MATCH("Player Name",$J$1:$K$1,0),0),"")</f>
        <v/>
      </c>
      <c r="H3" t="str">
        <f t="shared" ref="H3:H66" si="3">E3</f>
        <v/>
      </c>
      <c r="J3" s="10" t="str">
        <f>[1]FINAL!B3</f>
        <v>Salah</v>
      </c>
      <c r="K3" t="str">
        <f>[1]FINAL!A3</f>
        <v>Mohamed Salah (2nd Half)</v>
      </c>
    </row>
    <row r="4" spans="1:11" x14ac:dyDescent="0.3">
      <c r="A4" t="str">
        <f>IF('[2]Transfer History'!A4=0,"",'[2]Transfer History'!A4)</f>
        <v/>
      </c>
      <c r="B4" t="str">
        <f>IF('[2]Transfer History'!B4=0,"",'[2]Transfer History'!B4)</f>
        <v/>
      </c>
      <c r="C4" t="str">
        <f>IF('[2]Transfer History'!C4=0,"",'[2]Transfer History'!C4)</f>
        <v/>
      </c>
      <c r="D4" t="str">
        <f>IF(OR('[2]Transfer History'!D4=0,'[2]Transfer History'!D4="GW"&amp;TEAMS!$J$3),"",'[2]Transfer History'!D4)</f>
        <v/>
      </c>
      <c r="E4" t="str">
        <f t="shared" si="0"/>
        <v/>
      </c>
      <c r="F4" t="str">
        <f t="shared" si="1"/>
        <v/>
      </c>
      <c r="G4" t="str">
        <f t="shared" si="2"/>
        <v/>
      </c>
      <c r="H4" t="str">
        <f t="shared" si="3"/>
        <v/>
      </c>
      <c r="J4" s="10">
        <f>[1]FINAL!B4</f>
        <v>0</v>
      </c>
      <c r="K4" t="str">
        <f>[1]FINAL!A4</f>
        <v>Erling Haaland (2nd Half (post last Hattrick))</v>
      </c>
    </row>
    <row r="5" spans="1:11" x14ac:dyDescent="0.3">
      <c r="A5" t="str">
        <f>IF('[2]Transfer History'!A5=0,"",'[2]Transfer History'!A5)</f>
        <v/>
      </c>
      <c r="B5" t="str">
        <f>IF('[2]Transfer History'!B5=0,"",'[2]Transfer History'!B5)</f>
        <v/>
      </c>
      <c r="C5" t="str">
        <f>IF('[2]Transfer History'!C5=0,"",'[2]Transfer History'!C5)</f>
        <v/>
      </c>
      <c r="D5" t="str">
        <f>IF(OR('[2]Transfer History'!D5=0,'[2]Transfer History'!D5="GW"&amp;TEAMS!$J$3),"",'[2]Transfer History'!D5)</f>
        <v/>
      </c>
      <c r="E5" t="str">
        <f t="shared" si="0"/>
        <v/>
      </c>
      <c r="F5" t="str">
        <f t="shared" si="1"/>
        <v/>
      </c>
      <c r="G5" t="str">
        <f t="shared" si="2"/>
        <v/>
      </c>
      <c r="H5" t="str">
        <f t="shared" si="3"/>
        <v/>
      </c>
      <c r="J5" s="10" t="str">
        <f>[1]FINAL!B5</f>
        <v>Salah</v>
      </c>
      <c r="K5" t="str">
        <f>[1]FINAL!A5</f>
        <v>Mohamed Salah</v>
      </c>
    </row>
    <row r="6" spans="1:11" x14ac:dyDescent="0.3">
      <c r="A6" t="str">
        <f>IF('[2]Transfer History'!A6=0,"",'[2]Transfer History'!A6)</f>
        <v/>
      </c>
      <c r="B6" t="str">
        <f>IF('[2]Transfer History'!B6=0,"",'[2]Transfer History'!B6)</f>
        <v/>
      </c>
      <c r="C6" t="str">
        <f>IF('[2]Transfer History'!C6=0,"",'[2]Transfer History'!C6)</f>
        <v/>
      </c>
      <c r="D6" t="str">
        <f>IF(OR('[2]Transfer History'!D6=0,'[2]Transfer History'!D6="GW"&amp;TEAMS!$J$3),"",'[2]Transfer History'!D6)</f>
        <v/>
      </c>
      <c r="E6" t="str">
        <f t="shared" si="0"/>
        <v/>
      </c>
      <c r="F6" t="str">
        <f t="shared" si="1"/>
        <v/>
      </c>
      <c r="G6" t="str">
        <f t="shared" si="2"/>
        <v/>
      </c>
      <c r="H6" t="str">
        <f t="shared" si="3"/>
        <v/>
      </c>
      <c r="J6" s="10" t="str">
        <f>[1]FINAL!B6</f>
        <v>Kane</v>
      </c>
      <c r="K6" t="str">
        <f>[1]FINAL!A6</f>
        <v>Harry Kane</v>
      </c>
    </row>
    <row r="7" spans="1:11" x14ac:dyDescent="0.3">
      <c r="A7" t="str">
        <f>IF('[2]Transfer History'!A7=0,"",'[2]Transfer History'!A7)</f>
        <v/>
      </c>
      <c r="B7" t="str">
        <f>IF('[2]Transfer History'!B7=0,"",'[2]Transfer History'!B7)</f>
        <v/>
      </c>
      <c r="C7" t="str">
        <f>IF('[2]Transfer History'!C7=0,"",'[2]Transfer History'!C7)</f>
        <v/>
      </c>
      <c r="D7" t="str">
        <f>IF(OR('[2]Transfer History'!D7=0,'[2]Transfer History'!D7="GW"&amp;TEAMS!$J$3),"",'[2]Transfer History'!D7)</f>
        <v/>
      </c>
      <c r="E7" t="str">
        <f t="shared" si="0"/>
        <v/>
      </c>
      <c r="F7" t="str">
        <f t="shared" si="1"/>
        <v/>
      </c>
      <c r="G7" t="str">
        <f t="shared" si="2"/>
        <v/>
      </c>
      <c r="H7" t="str">
        <f t="shared" si="3"/>
        <v/>
      </c>
      <c r="J7" s="10" t="str">
        <f>[1]FINAL!B7</f>
        <v>De Bruyne</v>
      </c>
      <c r="K7" t="str">
        <f>[1]FINAL!A7</f>
        <v>Kevin De Bruyne</v>
      </c>
    </row>
    <row r="8" spans="1:11" x14ac:dyDescent="0.3">
      <c r="A8" t="str">
        <f>IF('[2]Transfer History'!A8=0,"",'[2]Transfer History'!A8)</f>
        <v/>
      </c>
      <c r="B8" t="str">
        <f>IF('[2]Transfer History'!B8=0,"",'[2]Transfer History'!B8)</f>
        <v/>
      </c>
      <c r="C8" t="str">
        <f>IF('[2]Transfer History'!C8=0,"",'[2]Transfer History'!C8)</f>
        <v/>
      </c>
      <c r="D8" t="str">
        <f>IF(OR('[2]Transfer History'!D8=0,'[2]Transfer History'!D8="GW"&amp;TEAMS!$J$3),"",'[2]Transfer History'!D8)</f>
        <v/>
      </c>
      <c r="E8" t="str">
        <f t="shared" si="0"/>
        <v/>
      </c>
      <c r="F8" t="str">
        <f t="shared" si="1"/>
        <v/>
      </c>
      <c r="G8" t="str">
        <f t="shared" si="2"/>
        <v/>
      </c>
      <c r="H8" t="str">
        <f t="shared" si="3"/>
        <v/>
      </c>
      <c r="J8" s="10" t="str">
        <f>[1]FINAL!B8</f>
        <v>Wilson</v>
      </c>
      <c r="K8" t="str">
        <f>[1]FINAL!A8</f>
        <v>Callum Wilson</v>
      </c>
    </row>
    <row r="9" spans="1:11" x14ac:dyDescent="0.3">
      <c r="A9" t="str">
        <f>IF('[2]Transfer History'!A9=0,"",'[2]Transfer History'!A9)</f>
        <v/>
      </c>
      <c r="B9" t="str">
        <f>IF('[2]Transfer History'!B9=0,"",'[2]Transfer History'!B9)</f>
        <v/>
      </c>
      <c r="C9" t="str">
        <f>IF('[2]Transfer History'!C9=0,"",'[2]Transfer History'!C9)</f>
        <v/>
      </c>
      <c r="D9" t="str">
        <f>IF(OR('[2]Transfer History'!D9=0,'[2]Transfer History'!D9="GW"&amp;TEAMS!$J$3),"",'[2]Transfer History'!D9)</f>
        <v/>
      </c>
      <c r="E9" t="str">
        <f t="shared" si="0"/>
        <v/>
      </c>
      <c r="F9" t="str">
        <f t="shared" si="1"/>
        <v/>
      </c>
      <c r="G9" t="str">
        <f t="shared" si="2"/>
        <v/>
      </c>
      <c r="H9" t="str">
        <f t="shared" si="3"/>
        <v/>
      </c>
      <c r="J9" s="10" t="str">
        <f>[1]FINAL!B9</f>
        <v>Rashford</v>
      </c>
      <c r="K9" t="str">
        <f>[1]FINAL!A9</f>
        <v>Marcus Rashford</v>
      </c>
    </row>
    <row r="10" spans="1:11" x14ac:dyDescent="0.3">
      <c r="A10" t="str">
        <f>IF('[2]Transfer History'!A10=0,"",'[2]Transfer History'!A10)</f>
        <v/>
      </c>
      <c r="B10" t="str">
        <f>IF('[2]Transfer History'!B10=0,"",'[2]Transfer History'!B10)</f>
        <v/>
      </c>
      <c r="C10" t="str">
        <f>IF('[2]Transfer History'!C10=0,"",'[2]Transfer History'!C10)</f>
        <v/>
      </c>
      <c r="D10" t="str">
        <f>IF(OR('[2]Transfer History'!D10=0,'[2]Transfer History'!D10="GW"&amp;TEAMS!$J$3),"",'[2]Transfer History'!D10)</f>
        <v/>
      </c>
      <c r="E10" t="str">
        <f t="shared" si="0"/>
        <v/>
      </c>
      <c r="F10" t="str">
        <f t="shared" si="1"/>
        <v/>
      </c>
      <c r="G10" t="str">
        <f t="shared" si="2"/>
        <v/>
      </c>
      <c r="H10" t="str">
        <f t="shared" si="3"/>
        <v/>
      </c>
      <c r="J10" s="10" t="str">
        <f>[1]FINAL!B10</f>
        <v>Toney</v>
      </c>
      <c r="K10" t="str">
        <f>[1]FINAL!A10</f>
        <v>Ivan Toney</v>
      </c>
    </row>
    <row r="11" spans="1:11" x14ac:dyDescent="0.3">
      <c r="A11" t="str">
        <f>IF('[2]Transfer History'!A11=0,"",'[2]Transfer History'!A11)</f>
        <v/>
      </c>
      <c r="B11" t="str">
        <f>IF('[2]Transfer History'!B11=0,"",'[2]Transfer History'!B11)</f>
        <v/>
      </c>
      <c r="C11" t="str">
        <f>IF('[2]Transfer History'!C11=0,"",'[2]Transfer History'!C11)</f>
        <v/>
      </c>
      <c r="D11" t="str">
        <f>IF(OR('[2]Transfer History'!D11=0,'[2]Transfer History'!D11="GW"&amp;TEAMS!$J$3),"",'[2]Transfer History'!D11)</f>
        <v/>
      </c>
      <c r="E11" t="str">
        <f t="shared" si="0"/>
        <v/>
      </c>
      <c r="F11" t="str">
        <f t="shared" si="1"/>
        <v/>
      </c>
      <c r="G11" t="str">
        <f t="shared" si="2"/>
        <v/>
      </c>
      <c r="H11" t="str">
        <f t="shared" si="3"/>
        <v/>
      </c>
      <c r="J11" s="10" t="str">
        <f>[1]FINAL!B11</f>
        <v>Nketiah</v>
      </c>
      <c r="K11" t="str">
        <f>[1]FINAL!A11</f>
        <v>Eddie Nketiah</v>
      </c>
    </row>
    <row r="12" spans="1:11" x14ac:dyDescent="0.3">
      <c r="A12" t="str">
        <f>IF('[2]Transfer History'!A12=0,"",'[2]Transfer History'!A12)</f>
        <v/>
      </c>
      <c r="B12" t="str">
        <f>IF('[2]Transfer History'!B12=0,"",'[2]Transfer History'!B12)</f>
        <v/>
      </c>
      <c r="C12" t="str">
        <f>IF('[2]Transfer History'!C12=0,"",'[2]Transfer History'!C12)</f>
        <v/>
      </c>
      <c r="D12" t="str">
        <f>IF(OR('[2]Transfer History'!D12=0,'[2]Transfer History'!D12="GW"&amp;TEAMS!$J$3),"",'[2]Transfer History'!D12)</f>
        <v/>
      </c>
      <c r="E12" t="str">
        <f t="shared" si="0"/>
        <v/>
      </c>
      <c r="F12" t="str">
        <f t="shared" si="1"/>
        <v/>
      </c>
      <c r="G12" t="str">
        <f t="shared" si="2"/>
        <v/>
      </c>
      <c r="H12" t="str">
        <f t="shared" si="3"/>
        <v/>
      </c>
      <c r="J12" s="10" t="str">
        <f>[1]FINAL!B12</f>
        <v>B.Fernandes</v>
      </c>
      <c r="K12" t="str">
        <f>[1]FINAL!A12</f>
        <v>Bruno Borges Fernandes</v>
      </c>
    </row>
    <row r="13" spans="1:11" x14ac:dyDescent="0.3">
      <c r="A13" t="str">
        <f>IF('[2]Transfer History'!A13=0,"",'[2]Transfer History'!A13)</f>
        <v/>
      </c>
      <c r="B13" t="str">
        <f>IF('[2]Transfer History'!B13=0,"",'[2]Transfer History'!B13)</f>
        <v/>
      </c>
      <c r="C13" t="str">
        <f>IF('[2]Transfer History'!C13=0,"",'[2]Transfer History'!C13)</f>
        <v/>
      </c>
      <c r="D13" t="str">
        <f>IF(OR('[2]Transfer History'!D13=0,'[2]Transfer History'!D13="GW"&amp;TEAMS!$J$3),"",'[2]Transfer History'!D13)</f>
        <v/>
      </c>
      <c r="E13" t="str">
        <f t="shared" si="0"/>
        <v/>
      </c>
      <c r="F13" t="str">
        <f t="shared" si="1"/>
        <v/>
      </c>
      <c r="G13" t="str">
        <f t="shared" si="2"/>
        <v/>
      </c>
      <c r="H13" t="str">
        <f t="shared" si="3"/>
        <v/>
      </c>
      <c r="J13" s="10" t="str">
        <f>[1]FINAL!B13</f>
        <v>Ødegaard</v>
      </c>
      <c r="K13" t="str">
        <f>[1]FINAL!A13</f>
        <v>Martin Ødegaard</v>
      </c>
    </row>
    <row r="14" spans="1:11" x14ac:dyDescent="0.3">
      <c r="A14" t="str">
        <f>IF('[2]Transfer History'!A14=0,"",'[2]Transfer History'!A14)</f>
        <v/>
      </c>
      <c r="B14" t="str">
        <f>IF('[2]Transfer History'!B14=0,"",'[2]Transfer History'!B14)</f>
        <v/>
      </c>
      <c r="C14" t="str">
        <f>IF('[2]Transfer History'!C14=0,"",'[2]Transfer History'!C14)</f>
        <v/>
      </c>
      <c r="D14" t="str">
        <f>IF(OR('[2]Transfer History'!D14=0,'[2]Transfer History'!D14="GW"&amp;TEAMS!$J$3),"",'[2]Transfer History'!D14)</f>
        <v/>
      </c>
      <c r="E14" t="str">
        <f t="shared" si="0"/>
        <v/>
      </c>
      <c r="F14" t="str">
        <f t="shared" si="1"/>
        <v/>
      </c>
      <c r="G14" t="str">
        <f t="shared" si="2"/>
        <v/>
      </c>
      <c r="H14" t="str">
        <f t="shared" si="3"/>
        <v/>
      </c>
      <c r="J14" s="10">
        <f>[1]FINAL!B14</f>
        <v>0</v>
      </c>
      <c r="K14" t="str">
        <f>[1]FINAL!A14</f>
        <v>Eberechi Eze (Post Hodge)</v>
      </c>
    </row>
    <row r="15" spans="1:11" x14ac:dyDescent="0.3">
      <c r="A15" t="str">
        <f>IF('[2]Transfer History'!A15=0,"",'[2]Transfer History'!A15)</f>
        <v/>
      </c>
      <c r="B15" t="str">
        <f>IF('[2]Transfer History'!B15=0,"",'[2]Transfer History'!B15)</f>
        <v/>
      </c>
      <c r="C15" t="str">
        <f>IF('[2]Transfer History'!C15=0,"",'[2]Transfer History'!C15)</f>
        <v/>
      </c>
      <c r="D15" t="str">
        <f>IF(OR('[2]Transfer History'!D15=0,'[2]Transfer History'!D15="GW"&amp;TEAMS!$J$3),"",'[2]Transfer History'!D15)</f>
        <v/>
      </c>
      <c r="E15" t="str">
        <f t="shared" si="0"/>
        <v/>
      </c>
      <c r="F15" t="str">
        <f t="shared" si="1"/>
        <v/>
      </c>
      <c r="G15" t="str">
        <f t="shared" si="2"/>
        <v/>
      </c>
      <c r="H15" t="str">
        <f t="shared" si="3"/>
        <v/>
      </c>
      <c r="J15" s="10" t="str">
        <f>[1]FINAL!B15</f>
        <v>J.Alvarez</v>
      </c>
      <c r="K15" t="str">
        <f>[1]FINAL!A15</f>
        <v>Julián Álvarez</v>
      </c>
    </row>
    <row r="16" spans="1:11" x14ac:dyDescent="0.3">
      <c r="A16" t="str">
        <f>IF('[2]Transfer History'!A16=0,"",'[2]Transfer History'!A16)</f>
        <v/>
      </c>
      <c r="B16" t="str">
        <f>IF('[2]Transfer History'!B16=0,"",'[2]Transfer History'!B16)</f>
        <v/>
      </c>
      <c r="C16" t="str">
        <f>IF('[2]Transfer History'!C16=0,"",'[2]Transfer History'!C16)</f>
        <v/>
      </c>
      <c r="D16" t="str">
        <f>IF(OR('[2]Transfer History'!D16=0,'[2]Transfer History'!D16="GW"&amp;TEAMS!$J$3),"",'[2]Transfer History'!D16)</f>
        <v/>
      </c>
      <c r="E16" t="str">
        <f t="shared" si="0"/>
        <v/>
      </c>
      <c r="F16" t="str">
        <f t="shared" si="1"/>
        <v/>
      </c>
      <c r="G16" t="str">
        <f t="shared" si="2"/>
        <v/>
      </c>
      <c r="H16" t="str">
        <f t="shared" si="3"/>
        <v/>
      </c>
      <c r="J16" s="10" t="str">
        <f>[1]FINAL!B16</f>
        <v>Mitoma</v>
      </c>
      <c r="K16" t="str">
        <f>[1]FINAL!A16</f>
        <v>Kaoru Mitoma</v>
      </c>
    </row>
    <row r="17" spans="1:11" x14ac:dyDescent="0.3">
      <c r="A17" t="str">
        <f>IF('[2]Transfer History'!A17=0,"",'[2]Transfer History'!A17)</f>
        <v/>
      </c>
      <c r="B17" t="str">
        <f>IF('[2]Transfer History'!B17=0,"",'[2]Transfer History'!B17)</f>
        <v/>
      </c>
      <c r="C17" t="str">
        <f>IF('[2]Transfer History'!C17=0,"",'[2]Transfer History'!C17)</f>
        <v/>
      </c>
      <c r="D17" t="str">
        <f>IF(OR('[2]Transfer History'!D17=0,'[2]Transfer History'!D17="GW"&amp;TEAMS!$J$3),"",'[2]Transfer History'!D17)</f>
        <v/>
      </c>
      <c r="E17" t="str">
        <f t="shared" si="0"/>
        <v/>
      </c>
      <c r="F17" t="str">
        <f t="shared" si="1"/>
        <v/>
      </c>
      <c r="G17" t="str">
        <f t="shared" si="2"/>
        <v/>
      </c>
      <c r="H17" t="str">
        <f t="shared" si="3"/>
        <v/>
      </c>
      <c r="J17" s="10" t="str">
        <f>[1]FINAL!B17</f>
        <v>G.Jesus</v>
      </c>
      <c r="K17" t="str">
        <f>[1]FINAL!A17</f>
        <v>Gabriel Fernando de Jesus</v>
      </c>
    </row>
    <row r="18" spans="1:11" x14ac:dyDescent="0.3">
      <c r="A18" t="str">
        <f>IF('[2]Transfer History'!A18=0,"",'[2]Transfer History'!A18)</f>
        <v/>
      </c>
      <c r="B18" t="str">
        <f>IF('[2]Transfer History'!B18=0,"",'[2]Transfer History'!B18)</f>
        <v/>
      </c>
      <c r="C18" t="str">
        <f>IF('[2]Transfer History'!C18=0,"",'[2]Transfer History'!C18)</f>
        <v/>
      </c>
      <c r="D18" t="str">
        <f>IF(OR('[2]Transfer History'!D18=0,'[2]Transfer History'!D18="GW"&amp;TEAMS!$J$3),"",'[2]Transfer History'!D18)</f>
        <v/>
      </c>
      <c r="E18" t="str">
        <f t="shared" si="0"/>
        <v/>
      </c>
      <c r="F18" t="str">
        <f t="shared" si="1"/>
        <v/>
      </c>
      <c r="G18" t="str">
        <f t="shared" si="2"/>
        <v/>
      </c>
      <c r="H18" t="str">
        <f t="shared" si="3"/>
        <v/>
      </c>
      <c r="J18" s="10" t="str">
        <f>[1]FINAL!B18</f>
        <v>Trippier</v>
      </c>
      <c r="K18" t="str">
        <f>[1]FINAL!A18</f>
        <v>Kieran Trippier</v>
      </c>
    </row>
    <row r="19" spans="1:11" x14ac:dyDescent="0.3">
      <c r="A19" t="str">
        <f>IF('[2]Transfer History'!A19=0,"",'[2]Transfer History'!A19)</f>
        <v/>
      </c>
      <c r="B19" t="str">
        <f>IF('[2]Transfer History'!B19=0,"",'[2]Transfer History'!B19)</f>
        <v/>
      </c>
      <c r="C19" t="str">
        <f>IF('[2]Transfer History'!C19=0,"",'[2]Transfer History'!C19)</f>
        <v/>
      </c>
      <c r="D19" t="str">
        <f>IF(OR('[2]Transfer History'!D19=0,'[2]Transfer History'!D19="GW"&amp;TEAMS!$J$3),"",'[2]Transfer History'!D19)</f>
        <v/>
      </c>
      <c r="E19" t="str">
        <f t="shared" si="0"/>
        <v/>
      </c>
      <c r="F19" t="str">
        <f t="shared" si="1"/>
        <v/>
      </c>
      <c r="G19" t="str">
        <f t="shared" si="2"/>
        <v/>
      </c>
      <c r="H19" t="str">
        <f t="shared" si="3"/>
        <v/>
      </c>
      <c r="J19" s="10">
        <f>[1]FINAL!B19</f>
        <v>0</v>
      </c>
      <c r="K19" t="str">
        <f>[1]FINAL!A19</f>
        <v>Ollie Watkins (Post Emery)</v>
      </c>
    </row>
    <row r="20" spans="1:11" x14ac:dyDescent="0.3">
      <c r="A20" t="str">
        <f>IF('[2]Transfer History'!A20=0,"",'[2]Transfer History'!A20)</f>
        <v/>
      </c>
      <c r="B20" t="str">
        <f>IF('[2]Transfer History'!B20=0,"",'[2]Transfer History'!B20)</f>
        <v/>
      </c>
      <c r="C20" t="str">
        <f>IF('[2]Transfer History'!C20=0,"",'[2]Transfer History'!C20)</f>
        <v/>
      </c>
      <c r="D20" t="str">
        <f>IF(OR('[2]Transfer History'!D20=0,'[2]Transfer History'!D20="GW"&amp;TEAMS!$J$3),"",'[2]Transfer History'!D20)</f>
        <v/>
      </c>
      <c r="E20" t="str">
        <f t="shared" si="0"/>
        <v/>
      </c>
      <c r="F20" t="str">
        <f t="shared" si="1"/>
        <v/>
      </c>
      <c r="G20" t="str">
        <f t="shared" si="2"/>
        <v/>
      </c>
      <c r="H20" t="str">
        <f t="shared" si="3"/>
        <v/>
      </c>
      <c r="J20" s="10">
        <f>[1]FINAL!B20</f>
        <v>0</v>
      </c>
      <c r="K20" t="str">
        <f>[1]FINAL!A20</f>
        <v>Trent Alexander-Arnold (2nd Half)</v>
      </c>
    </row>
    <row r="21" spans="1:11" x14ac:dyDescent="0.3">
      <c r="A21" t="str">
        <f>IF('[2]Transfer History'!A21=0,"",'[2]Transfer History'!A21)</f>
        <v/>
      </c>
      <c r="B21" t="str">
        <f>IF('[2]Transfer History'!B21=0,"",'[2]Transfer History'!B21)</f>
        <v/>
      </c>
      <c r="C21" t="str">
        <f>IF('[2]Transfer History'!C21=0,"",'[2]Transfer History'!C21)</f>
        <v/>
      </c>
      <c r="D21" t="str">
        <f>IF(OR('[2]Transfer History'!D21=0,'[2]Transfer History'!D21="GW"&amp;TEAMS!$J$3),"",'[2]Transfer History'!D21)</f>
        <v/>
      </c>
      <c r="E21" t="str">
        <f t="shared" si="0"/>
        <v/>
      </c>
      <c r="F21" t="str">
        <f t="shared" si="1"/>
        <v/>
      </c>
      <c r="G21" t="str">
        <f t="shared" si="2"/>
        <v/>
      </c>
      <c r="H21" t="str">
        <f t="shared" si="3"/>
        <v/>
      </c>
      <c r="J21" s="10" t="str">
        <f>[1]FINAL!B21</f>
        <v>Isak</v>
      </c>
      <c r="K21" t="str">
        <f>[1]FINAL!A21</f>
        <v>Alexander Isak</v>
      </c>
    </row>
    <row r="22" spans="1:11" x14ac:dyDescent="0.3">
      <c r="A22" t="str">
        <f>IF('[2]Transfer History'!A22=0,"",'[2]Transfer History'!A22)</f>
        <v/>
      </c>
      <c r="B22" t="str">
        <f>IF('[2]Transfer History'!B22=0,"",'[2]Transfer History'!B22)</f>
        <v/>
      </c>
      <c r="C22" t="str">
        <f>IF('[2]Transfer History'!C22=0,"",'[2]Transfer History'!C22)</f>
        <v/>
      </c>
      <c r="D22" t="str">
        <f>IF(OR('[2]Transfer History'!D22=0,'[2]Transfer History'!D22="GW"&amp;TEAMS!$J$3),"",'[2]Transfer History'!D22)</f>
        <v/>
      </c>
      <c r="E22" t="str">
        <f t="shared" si="0"/>
        <v/>
      </c>
      <c r="F22" t="str">
        <f t="shared" si="1"/>
        <v/>
      </c>
      <c r="G22" t="str">
        <f t="shared" si="2"/>
        <v/>
      </c>
      <c r="H22" t="str">
        <f t="shared" si="3"/>
        <v/>
      </c>
      <c r="J22" s="10" t="str">
        <f>[1]FINAL!B22</f>
        <v>Martinelli</v>
      </c>
      <c r="K22" t="str">
        <f>[1]FINAL!A22</f>
        <v>Gabriel Martinelli Silva</v>
      </c>
    </row>
    <row r="23" spans="1:11" x14ac:dyDescent="0.3">
      <c r="A23" t="str">
        <f>IF('[2]Transfer History'!A23=0,"",'[2]Transfer History'!A23)</f>
        <v/>
      </c>
      <c r="B23" t="str">
        <f>IF('[2]Transfer History'!B23=0,"",'[2]Transfer History'!B23)</f>
        <v/>
      </c>
      <c r="C23" t="str">
        <f>IF('[2]Transfer History'!C23=0,"",'[2]Transfer History'!C23)</f>
        <v/>
      </c>
      <c r="D23" t="str">
        <f>IF(OR('[2]Transfer History'!D23=0,'[2]Transfer History'!D23="GW"&amp;TEAMS!$J$3),"",'[2]Transfer History'!D23)</f>
        <v/>
      </c>
      <c r="E23" t="str">
        <f t="shared" si="0"/>
        <v/>
      </c>
      <c r="F23" t="str">
        <f t="shared" si="1"/>
        <v/>
      </c>
      <c r="G23" t="str">
        <f t="shared" si="2"/>
        <v/>
      </c>
      <c r="H23" t="str">
        <f t="shared" si="3"/>
        <v/>
      </c>
      <c r="J23" s="10" t="str">
        <f>[1]FINAL!B23</f>
        <v>Darwin</v>
      </c>
      <c r="K23" t="str">
        <f>[1]FINAL!A23</f>
        <v>Darwin Núñez Ribeiro</v>
      </c>
    </row>
    <row r="24" spans="1:11" x14ac:dyDescent="0.3">
      <c r="A24" t="str">
        <f>IF('[2]Transfer History'!A24=0,"",'[2]Transfer History'!A24)</f>
        <v/>
      </c>
      <c r="B24" t="str">
        <f>IF('[2]Transfer History'!B24=0,"",'[2]Transfer History'!B24)</f>
        <v/>
      </c>
      <c r="C24" t="str">
        <f>IF('[2]Transfer History'!C24=0,"",'[2]Transfer History'!C24)</f>
        <v/>
      </c>
      <c r="D24" t="str">
        <f>IF(OR('[2]Transfer History'!D24=0,'[2]Transfer History'!D24="GW"&amp;TEAMS!$J$3),"",'[2]Transfer History'!D24)</f>
        <v/>
      </c>
      <c r="E24" t="str">
        <f t="shared" si="0"/>
        <v/>
      </c>
      <c r="F24" t="str">
        <f t="shared" si="1"/>
        <v/>
      </c>
      <c r="G24" t="str">
        <f t="shared" si="2"/>
        <v/>
      </c>
      <c r="H24" t="str">
        <f t="shared" si="3"/>
        <v/>
      </c>
      <c r="J24" s="10" t="str">
        <f>[1]FINAL!B24</f>
        <v>Saka</v>
      </c>
      <c r="K24" t="str">
        <f>[1]FINAL!A24</f>
        <v>Bukayo Saka</v>
      </c>
    </row>
    <row r="25" spans="1:11" x14ac:dyDescent="0.3">
      <c r="A25" t="str">
        <f>IF('[2]Transfer History'!A25=0,"",'[2]Transfer History'!A25)</f>
        <v/>
      </c>
      <c r="B25" t="str">
        <f>IF('[2]Transfer History'!B25=0,"",'[2]Transfer History'!B25)</f>
        <v/>
      </c>
      <c r="C25" t="str">
        <f>IF('[2]Transfer History'!C25=0,"",'[2]Transfer History'!C25)</f>
        <v/>
      </c>
      <c r="D25" t="str">
        <f>IF(OR('[2]Transfer History'!D25=0,'[2]Transfer History'!D25="GW"&amp;TEAMS!$J$3),"",'[2]Transfer History'!D25)</f>
        <v/>
      </c>
      <c r="E25" t="str">
        <f t="shared" si="0"/>
        <v/>
      </c>
      <c r="F25" t="str">
        <f t="shared" si="1"/>
        <v/>
      </c>
      <c r="G25" t="str">
        <f t="shared" si="2"/>
        <v/>
      </c>
      <c r="H25" t="str">
        <f t="shared" si="3"/>
        <v/>
      </c>
      <c r="J25" s="10" t="str">
        <f>[1]FINAL!B25</f>
        <v>Mitrović</v>
      </c>
      <c r="K25" t="str">
        <f>[1]FINAL!A25</f>
        <v>Aleksandar Mitrović</v>
      </c>
    </row>
    <row r="26" spans="1:11" x14ac:dyDescent="0.3">
      <c r="A26" t="str">
        <f>IF('[2]Transfer History'!A26=0,"",'[2]Transfer History'!A26)</f>
        <v/>
      </c>
      <c r="B26" t="str">
        <f>IF('[2]Transfer History'!B26=0,"",'[2]Transfer History'!B26)</f>
        <v/>
      </c>
      <c r="C26" t="str">
        <f>IF('[2]Transfer History'!C26=0,"",'[2]Transfer History'!C26)</f>
        <v/>
      </c>
      <c r="D26" t="str">
        <f>IF(OR('[2]Transfer History'!D26=0,'[2]Transfer History'!D26="GW"&amp;TEAMS!$J$3),"",'[2]Transfer History'!D26)</f>
        <v/>
      </c>
      <c r="E26" t="str">
        <f t="shared" si="0"/>
        <v/>
      </c>
      <c r="F26" t="str">
        <f t="shared" si="1"/>
        <v/>
      </c>
      <c r="G26" t="str">
        <f t="shared" si="2"/>
        <v/>
      </c>
      <c r="H26" t="str">
        <f t="shared" si="3"/>
        <v/>
      </c>
      <c r="J26" s="10" t="str">
        <f>[1]FINAL!B26</f>
        <v>Foden</v>
      </c>
      <c r="K26" t="str">
        <f>[1]FINAL!A26</f>
        <v>Phil Foden</v>
      </c>
    </row>
    <row r="27" spans="1:11" x14ac:dyDescent="0.3">
      <c r="A27" t="str">
        <f>IF('[2]Transfer History'!A27=0,"",'[2]Transfer History'!A27)</f>
        <v/>
      </c>
      <c r="B27" t="str">
        <f>IF('[2]Transfer History'!B27=0,"",'[2]Transfer History'!B27)</f>
        <v/>
      </c>
      <c r="C27" t="str">
        <f>IF('[2]Transfer History'!C27=0,"",'[2]Transfer History'!C27)</f>
        <v/>
      </c>
      <c r="D27" t="str">
        <f>IF(OR('[2]Transfer History'!D27=0,'[2]Transfer History'!D27="GW"&amp;TEAMS!$J$3),"",'[2]Transfer History'!D27)</f>
        <v/>
      </c>
      <c r="E27" t="str">
        <f t="shared" si="0"/>
        <v/>
      </c>
      <c r="F27" t="str">
        <f t="shared" si="1"/>
        <v/>
      </c>
      <c r="G27" t="str">
        <f t="shared" si="2"/>
        <v/>
      </c>
      <c r="H27" t="str">
        <f t="shared" si="3"/>
        <v/>
      </c>
      <c r="J27" s="10" t="str">
        <f>[1]FINAL!B27</f>
        <v>Mbeumo</v>
      </c>
      <c r="K27" t="str">
        <f>[1]FINAL!A27</f>
        <v>Bryan Mbeumo (More Mins)</v>
      </c>
    </row>
    <row r="28" spans="1:11" x14ac:dyDescent="0.3">
      <c r="A28" t="str">
        <f>IF('[2]Transfer History'!A28=0,"",'[2]Transfer History'!A28)</f>
        <v/>
      </c>
      <c r="B28" t="str">
        <f>IF('[2]Transfer History'!B28=0,"",'[2]Transfer History'!B28)</f>
        <v/>
      </c>
      <c r="C28" t="str">
        <f>IF('[2]Transfer History'!C28=0,"",'[2]Transfer History'!C28)</f>
        <v/>
      </c>
      <c r="D28" t="str">
        <f>IF(OR('[2]Transfer History'!D28=0,'[2]Transfer History'!D28="GW"&amp;TEAMS!$J$3),"",'[2]Transfer History'!D28)</f>
        <v/>
      </c>
      <c r="E28" t="str">
        <f t="shared" si="0"/>
        <v/>
      </c>
      <c r="F28" t="str">
        <f t="shared" si="1"/>
        <v/>
      </c>
      <c r="G28" t="str">
        <f t="shared" si="2"/>
        <v/>
      </c>
      <c r="H28" t="str">
        <f t="shared" si="3"/>
        <v/>
      </c>
      <c r="J28" s="10" t="str">
        <f>[1]FINAL!B28</f>
        <v>Undav</v>
      </c>
      <c r="K28" t="str">
        <f>[1]FINAL!A28</f>
        <v>Deniz Undav</v>
      </c>
    </row>
    <row r="29" spans="1:11" x14ac:dyDescent="0.3">
      <c r="A29" t="str">
        <f>IF('[2]Transfer History'!A29=0,"",'[2]Transfer History'!A29)</f>
        <v/>
      </c>
      <c r="B29" t="str">
        <f>IF('[2]Transfer History'!B29=0,"",'[2]Transfer History'!B29)</f>
        <v/>
      </c>
      <c r="C29" t="str">
        <f>IF('[2]Transfer History'!C29=0,"",'[2]Transfer History'!C29)</f>
        <v/>
      </c>
      <c r="D29" t="str">
        <f>IF(OR('[2]Transfer History'!D29=0,'[2]Transfer History'!D29="GW"&amp;TEAMS!$J$3),"",'[2]Transfer History'!D29)</f>
        <v/>
      </c>
      <c r="E29" t="str">
        <f t="shared" si="0"/>
        <v/>
      </c>
      <c r="F29" t="str">
        <f t="shared" si="1"/>
        <v/>
      </c>
      <c r="G29" t="str">
        <f t="shared" si="2"/>
        <v/>
      </c>
      <c r="H29" t="str">
        <f t="shared" si="3"/>
        <v/>
      </c>
      <c r="J29" s="10" t="str">
        <f>[1]FINAL!B29</f>
        <v>Mahrez</v>
      </c>
      <c r="K29" t="str">
        <f>[1]FINAL!A29</f>
        <v>Riyad Mahrez</v>
      </c>
    </row>
    <row r="30" spans="1:11" x14ac:dyDescent="0.3">
      <c r="A30" t="str">
        <f>IF('[2]Transfer History'!A30=0,"",'[2]Transfer History'!A30)</f>
        <v/>
      </c>
      <c r="B30" t="str">
        <f>IF('[2]Transfer History'!B30=0,"",'[2]Transfer History'!B30)</f>
        <v/>
      </c>
      <c r="C30" t="str">
        <f>IF('[2]Transfer History'!C30=0,"",'[2]Transfer History'!C30)</f>
        <v/>
      </c>
      <c r="D30" t="str">
        <f>IF(OR('[2]Transfer History'!D30=0,'[2]Transfer History'!D30="GW"&amp;TEAMS!$J$3),"",'[2]Transfer History'!D30)</f>
        <v/>
      </c>
      <c r="E30" t="str">
        <f t="shared" si="0"/>
        <v/>
      </c>
      <c r="F30" t="str">
        <f t="shared" si="1"/>
        <v/>
      </c>
      <c r="G30" t="str">
        <f t="shared" si="2"/>
        <v/>
      </c>
      <c r="H30" t="str">
        <f t="shared" si="3"/>
        <v/>
      </c>
      <c r="J30" s="10" t="str">
        <f>[1]FINAL!B30</f>
        <v>Sergio Gómez</v>
      </c>
      <c r="K30" t="str">
        <f>[1]FINAL!A30</f>
        <v>Sergio Gómez</v>
      </c>
    </row>
    <row r="31" spans="1:11" x14ac:dyDescent="0.3">
      <c r="A31" t="str">
        <f>IF('[2]Transfer History'!A31=0,"",'[2]Transfer History'!A31)</f>
        <v/>
      </c>
      <c r="B31" t="str">
        <f>IF('[2]Transfer History'!B31=0,"",'[2]Transfer History'!B31)</f>
        <v/>
      </c>
      <c r="C31" t="str">
        <f>IF('[2]Transfer History'!C31=0,"",'[2]Transfer History'!C31)</f>
        <v/>
      </c>
      <c r="D31" t="str">
        <f>IF(OR('[2]Transfer History'!D31=0,'[2]Transfer History'!D31="GW"&amp;TEAMS!$J$3),"",'[2]Transfer History'!D31)</f>
        <v/>
      </c>
      <c r="E31" t="str">
        <f t="shared" si="0"/>
        <v/>
      </c>
      <c r="F31" t="str">
        <f t="shared" si="1"/>
        <v/>
      </c>
      <c r="G31" t="str">
        <f t="shared" si="2"/>
        <v/>
      </c>
      <c r="H31" t="str">
        <f t="shared" si="3"/>
        <v/>
      </c>
      <c r="J31" s="10" t="str">
        <f>[1]FINAL!B31</f>
        <v>Watkins</v>
      </c>
      <c r="K31" t="str">
        <f>[1]FINAL!A31</f>
        <v>Ollie Watkins</v>
      </c>
    </row>
    <row r="32" spans="1:11" x14ac:dyDescent="0.3">
      <c r="A32" t="str">
        <f>IF('[2]Transfer History'!A32=0,"",'[2]Transfer History'!A32)</f>
        <v/>
      </c>
      <c r="B32" t="str">
        <f>IF('[2]Transfer History'!B32=0,"",'[2]Transfer History'!B32)</f>
        <v/>
      </c>
      <c r="C32" t="str">
        <f>IF('[2]Transfer History'!C32=0,"",'[2]Transfer History'!C32)</f>
        <v/>
      </c>
      <c r="D32" t="str">
        <f>IF(OR('[2]Transfer History'!D32=0,'[2]Transfer History'!D32="GW"&amp;TEAMS!$J$3),"",'[2]Transfer History'!D32)</f>
        <v/>
      </c>
      <c r="E32" t="str">
        <f t="shared" si="0"/>
        <v/>
      </c>
      <c r="F32" t="str">
        <f t="shared" si="1"/>
        <v/>
      </c>
      <c r="G32" t="str">
        <f t="shared" si="2"/>
        <v/>
      </c>
      <c r="H32" t="str">
        <f t="shared" si="3"/>
        <v/>
      </c>
      <c r="J32" s="10" t="str">
        <f>[1]FINAL!B32</f>
        <v>March</v>
      </c>
      <c r="K32" t="str">
        <f>[1]FINAL!A32</f>
        <v>Solly March</v>
      </c>
    </row>
    <row r="33" spans="1:11" x14ac:dyDescent="0.3">
      <c r="A33" t="str">
        <f>IF('[2]Transfer History'!A33=0,"",'[2]Transfer History'!A33)</f>
        <v/>
      </c>
      <c r="B33" t="str">
        <f>IF('[2]Transfer History'!B33=0,"",'[2]Transfer History'!B33)</f>
        <v/>
      </c>
      <c r="C33" t="str">
        <f>IF('[2]Transfer History'!C33=0,"",'[2]Transfer History'!C33)</f>
        <v/>
      </c>
      <c r="D33" t="str">
        <f>IF(OR('[2]Transfer History'!D33=0,'[2]Transfer History'!D33="GW"&amp;TEAMS!$J$3),"",'[2]Transfer History'!D33)</f>
        <v/>
      </c>
      <c r="E33" t="str">
        <f t="shared" si="0"/>
        <v/>
      </c>
      <c r="F33" t="str">
        <f t="shared" si="1"/>
        <v/>
      </c>
      <c r="G33" t="str">
        <f t="shared" si="2"/>
        <v/>
      </c>
      <c r="H33" t="str">
        <f t="shared" si="3"/>
        <v/>
      </c>
      <c r="J33" s="10" t="str">
        <f>[1]FINAL!B33</f>
        <v>Mac Allister</v>
      </c>
      <c r="K33" t="str">
        <f>[1]FINAL!A33</f>
        <v>Alexis Mac Allister</v>
      </c>
    </row>
    <row r="34" spans="1:11" x14ac:dyDescent="0.3">
      <c r="A34" t="str">
        <f>IF('[2]Transfer History'!A34=0,"",'[2]Transfer History'!A34)</f>
        <v/>
      </c>
      <c r="B34" t="str">
        <f>IF('[2]Transfer History'!B34=0,"",'[2]Transfer History'!B34)</f>
        <v/>
      </c>
      <c r="C34" t="str">
        <f>IF('[2]Transfer History'!C34=0,"",'[2]Transfer History'!C34)</f>
        <v/>
      </c>
      <c r="D34" t="str">
        <f>IF(OR('[2]Transfer History'!D34=0,'[2]Transfer History'!D34="GW"&amp;TEAMS!$J$3),"",'[2]Transfer History'!D34)</f>
        <v/>
      </c>
      <c r="E34" t="str">
        <f t="shared" si="0"/>
        <v/>
      </c>
      <c r="F34" t="str">
        <f t="shared" si="1"/>
        <v/>
      </c>
      <c r="G34" t="str">
        <f t="shared" si="2"/>
        <v/>
      </c>
      <c r="H34" t="str">
        <f t="shared" si="3"/>
        <v/>
      </c>
      <c r="J34" s="10" t="str">
        <f>[1]FINAL!B34</f>
        <v>Alexander-Arnold</v>
      </c>
      <c r="K34" t="str">
        <f>[1]FINAL!A34</f>
        <v>Trent Alexander-Arnold</v>
      </c>
    </row>
    <row r="35" spans="1:11" x14ac:dyDescent="0.3">
      <c r="A35" t="str">
        <f>IF('[2]Transfer History'!A35=0,"",'[2]Transfer History'!A35)</f>
        <v/>
      </c>
      <c r="B35" t="str">
        <f>IF('[2]Transfer History'!B35=0,"",'[2]Transfer History'!B35)</f>
        <v/>
      </c>
      <c r="C35" t="str">
        <f>IF('[2]Transfer History'!C35=0,"",'[2]Transfer History'!C35)</f>
        <v/>
      </c>
      <c r="D35" t="str">
        <f>IF(OR('[2]Transfer History'!D35=0,'[2]Transfer History'!D35="GW"&amp;TEAMS!$J$3),"",'[2]Transfer History'!D35)</f>
        <v/>
      </c>
      <c r="E35" t="str">
        <f t="shared" si="0"/>
        <v/>
      </c>
      <c r="F35" t="str">
        <f t="shared" si="1"/>
        <v/>
      </c>
      <c r="G35" t="str">
        <f t="shared" si="2"/>
        <v/>
      </c>
      <c r="H35" t="str">
        <f t="shared" si="3"/>
        <v/>
      </c>
      <c r="J35" s="10" t="str">
        <f>[1]FINAL!B35</f>
        <v>Maddison</v>
      </c>
      <c r="K35" t="str">
        <f>[1]FINAL!A35</f>
        <v>James Maddison</v>
      </c>
    </row>
    <row r="36" spans="1:11" x14ac:dyDescent="0.3">
      <c r="A36" t="str">
        <f>IF('[2]Transfer History'!A36=0,"",'[2]Transfer History'!A36)</f>
        <v/>
      </c>
      <c r="B36" t="str">
        <f>IF('[2]Transfer History'!B36=0,"",'[2]Transfer History'!B36)</f>
        <v/>
      </c>
      <c r="C36" t="str">
        <f>IF('[2]Transfer History'!C36=0,"",'[2]Transfer History'!C36)</f>
        <v/>
      </c>
      <c r="D36" t="str">
        <f>IF(OR('[2]Transfer History'!D36=0,'[2]Transfer History'!D36="GW"&amp;TEAMS!$J$3),"",'[2]Transfer History'!D36)</f>
        <v/>
      </c>
      <c r="E36" t="str">
        <f t="shared" si="0"/>
        <v/>
      </c>
      <c r="F36" t="str">
        <f t="shared" si="1"/>
        <v/>
      </c>
      <c r="G36" t="str">
        <f t="shared" si="2"/>
        <v/>
      </c>
      <c r="H36" t="str">
        <f t="shared" si="3"/>
        <v/>
      </c>
      <c r="J36" s="10">
        <f>[1]FINAL!B36</f>
        <v>0</v>
      </c>
      <c r="K36" t="str">
        <f>[1]FINAL!A36</f>
        <v>Christopher Nkunku</v>
      </c>
    </row>
    <row r="37" spans="1:11" x14ac:dyDescent="0.3">
      <c r="A37" t="str">
        <f>IF('[2]Transfer History'!A37=0,"",'[2]Transfer History'!A37)</f>
        <v/>
      </c>
      <c r="B37" t="str">
        <f>IF('[2]Transfer History'!B37=0,"",'[2]Transfer History'!B37)</f>
        <v/>
      </c>
      <c r="C37" t="str">
        <f>IF('[2]Transfer History'!C37=0,"",'[2]Transfer History'!C37)</f>
        <v/>
      </c>
      <c r="D37" t="str">
        <f>IF(OR('[2]Transfer History'!D37=0,'[2]Transfer History'!D37="GW"&amp;TEAMS!$J$3),"",'[2]Transfer History'!D37)</f>
        <v/>
      </c>
      <c r="E37" t="str">
        <f t="shared" si="0"/>
        <v/>
      </c>
      <c r="F37" t="str">
        <f t="shared" si="1"/>
        <v/>
      </c>
      <c r="G37" t="str">
        <f t="shared" si="2"/>
        <v/>
      </c>
      <c r="H37" t="str">
        <f t="shared" si="3"/>
        <v/>
      </c>
      <c r="J37" s="10">
        <f>[1]FINAL!B37</f>
        <v>0</v>
      </c>
      <c r="K37" t="str">
        <f>[1]FINAL!A37</f>
        <v>Pedro Porro</v>
      </c>
    </row>
    <row r="38" spans="1:11" x14ac:dyDescent="0.3">
      <c r="A38" t="str">
        <f>IF('[2]Transfer History'!A38=0,"",'[2]Transfer History'!A38)</f>
        <v/>
      </c>
      <c r="B38" t="str">
        <f>IF('[2]Transfer History'!B38=0,"",'[2]Transfer History'!B38)</f>
        <v/>
      </c>
      <c r="C38" t="str">
        <f>IF('[2]Transfer History'!C38=0,"",'[2]Transfer History'!C38)</f>
        <v/>
      </c>
      <c r="D38" t="str">
        <f>IF(OR('[2]Transfer History'!D38=0,'[2]Transfer History'!D38="GW"&amp;TEAMS!$J$3),"",'[2]Transfer History'!D38)</f>
        <v/>
      </c>
      <c r="E38" t="str">
        <f t="shared" si="0"/>
        <v/>
      </c>
      <c r="F38" t="str">
        <f t="shared" si="1"/>
        <v/>
      </c>
      <c r="G38" t="str">
        <f t="shared" si="2"/>
        <v/>
      </c>
      <c r="H38" t="str">
        <f t="shared" si="3"/>
        <v/>
      </c>
      <c r="J38" s="10">
        <f>[1]FINAL!B38</f>
        <v>0</v>
      </c>
      <c r="K38" t="str">
        <f>[1]FINAL!A38</f>
        <v>Nicolas Jackson</v>
      </c>
    </row>
    <row r="39" spans="1:11" x14ac:dyDescent="0.3">
      <c r="A39" t="str">
        <f>IF('[2]Transfer History'!A39=0,"",'[2]Transfer History'!A39)</f>
        <v/>
      </c>
      <c r="B39" t="str">
        <f>IF('[2]Transfer History'!B39=0,"",'[2]Transfer History'!B39)</f>
        <v/>
      </c>
      <c r="C39" t="str">
        <f>IF('[2]Transfer History'!C39=0,"",'[2]Transfer History'!C39)</f>
        <v/>
      </c>
      <c r="D39" t="str">
        <f>IF(OR('[2]Transfer History'!D39=0,'[2]Transfer History'!D39="GW"&amp;TEAMS!$J$3),"",'[2]Transfer History'!D39)</f>
        <v/>
      </c>
      <c r="E39" t="str">
        <f t="shared" si="0"/>
        <v/>
      </c>
      <c r="F39" t="str">
        <f t="shared" si="1"/>
        <v/>
      </c>
      <c r="G39" t="str">
        <f t="shared" si="2"/>
        <v/>
      </c>
      <c r="H39" t="str">
        <f t="shared" si="3"/>
        <v/>
      </c>
      <c r="J39" s="10" t="str">
        <f>[1]FINAL!B39</f>
        <v>Eze</v>
      </c>
      <c r="K39" t="str">
        <f>[1]FINAL!A39</f>
        <v>Eberechi Eze</v>
      </c>
    </row>
    <row r="40" spans="1:11" x14ac:dyDescent="0.3">
      <c r="A40" t="str">
        <f>IF('[2]Transfer History'!A40=0,"",'[2]Transfer History'!A40)</f>
        <v/>
      </c>
      <c r="B40" t="str">
        <f>IF('[2]Transfer History'!B40=0,"",'[2]Transfer History'!B40)</f>
        <v/>
      </c>
      <c r="C40" t="str">
        <f>IF('[2]Transfer History'!C40=0,"",'[2]Transfer History'!C40)</f>
        <v/>
      </c>
      <c r="D40" t="str">
        <f>IF(OR('[2]Transfer History'!D40=0,'[2]Transfer History'!D40="GW"&amp;TEAMS!$J$3),"",'[2]Transfer History'!D40)</f>
        <v/>
      </c>
      <c r="E40" t="str">
        <f t="shared" si="0"/>
        <v/>
      </c>
      <c r="F40" t="str">
        <f t="shared" si="1"/>
        <v/>
      </c>
      <c r="G40" t="str">
        <f t="shared" si="2"/>
        <v/>
      </c>
      <c r="H40" t="str">
        <f t="shared" si="3"/>
        <v/>
      </c>
      <c r="J40" s="10" t="str">
        <f>[1]FINAL!B40</f>
        <v>Almirón</v>
      </c>
      <c r="K40" t="str">
        <f>[1]FINAL!A40</f>
        <v>Miguel Almirón Rejala</v>
      </c>
    </row>
    <row r="41" spans="1:11" x14ac:dyDescent="0.3">
      <c r="A41" t="str">
        <f>IF('[2]Transfer History'!A41=0,"",'[2]Transfer History'!A41)</f>
        <v/>
      </c>
      <c r="B41" t="str">
        <f>IF('[2]Transfer History'!B41=0,"",'[2]Transfer History'!B41)</f>
        <v/>
      </c>
      <c r="C41" t="str">
        <f>IF('[2]Transfer History'!C41=0,"",'[2]Transfer History'!C41)</f>
        <v/>
      </c>
      <c r="D41" t="str">
        <f>IF(OR('[2]Transfer History'!D41=0,'[2]Transfer History'!D41="GW"&amp;TEAMS!$J$3),"",'[2]Transfer History'!D41)</f>
        <v/>
      </c>
      <c r="E41" t="str">
        <f t="shared" si="0"/>
        <v/>
      </c>
      <c r="F41" t="str">
        <f t="shared" si="1"/>
        <v/>
      </c>
      <c r="G41" t="str">
        <f t="shared" si="2"/>
        <v/>
      </c>
      <c r="H41" t="str">
        <f t="shared" si="3"/>
        <v/>
      </c>
      <c r="J41" s="10" t="str">
        <f>[1]FINAL!B41</f>
        <v>Grealish</v>
      </c>
      <c r="K41" t="str">
        <f>[1]FINAL!A41</f>
        <v>Jack Grealish</v>
      </c>
    </row>
    <row r="42" spans="1:11" x14ac:dyDescent="0.3">
      <c r="A42" t="str">
        <f>IF('[2]Transfer History'!A42=0,"",'[2]Transfer History'!A42)</f>
        <v/>
      </c>
      <c r="B42" t="str">
        <f>IF('[2]Transfer History'!B42=0,"",'[2]Transfer History'!B42)</f>
        <v/>
      </c>
      <c r="C42" t="str">
        <f>IF('[2]Transfer History'!C42=0,"",'[2]Transfer History'!C42)</f>
        <v/>
      </c>
      <c r="D42" t="str">
        <f>IF(OR('[2]Transfer History'!D42=0,'[2]Transfer History'!D42="GW"&amp;TEAMS!$J$3),"",'[2]Transfer History'!D42)</f>
        <v/>
      </c>
      <c r="E42" t="str">
        <f t="shared" si="0"/>
        <v/>
      </c>
      <c r="F42" t="str">
        <f t="shared" si="1"/>
        <v/>
      </c>
      <c r="G42" t="str">
        <f t="shared" si="2"/>
        <v/>
      </c>
      <c r="H42" t="str">
        <f t="shared" si="3"/>
        <v/>
      </c>
      <c r="J42" s="10" t="str">
        <f>[1]FINAL!B42</f>
        <v>Son</v>
      </c>
      <c r="K42" t="str">
        <f>[1]FINAL!A42</f>
        <v>Son Heung-Min</v>
      </c>
    </row>
    <row r="43" spans="1:11" x14ac:dyDescent="0.3">
      <c r="A43" t="str">
        <f>IF('[2]Transfer History'!A43=0,"",'[2]Transfer History'!A43)</f>
        <v/>
      </c>
      <c r="B43" t="str">
        <f>IF('[2]Transfer History'!B43=0,"",'[2]Transfer History'!B43)</f>
        <v/>
      </c>
      <c r="C43" t="str">
        <f>IF('[2]Transfer History'!C43=0,"",'[2]Transfer History'!C43)</f>
        <v/>
      </c>
      <c r="D43" t="str">
        <f>IF(OR('[2]Transfer History'!D43=0,'[2]Transfer History'!D43="GW"&amp;TEAMS!$J$3),"",'[2]Transfer History'!D43)</f>
        <v/>
      </c>
      <c r="E43" t="str">
        <f t="shared" si="0"/>
        <v/>
      </c>
      <c r="F43" t="str">
        <f t="shared" si="1"/>
        <v/>
      </c>
      <c r="G43" t="str">
        <f t="shared" si="2"/>
        <v/>
      </c>
      <c r="H43" t="str">
        <f t="shared" si="3"/>
        <v/>
      </c>
      <c r="J43" s="10" t="str">
        <f>[1]FINAL!B43</f>
        <v>Awoniyi</v>
      </c>
      <c r="K43" t="str">
        <f>[1]FINAL!A43</f>
        <v>Taiwo Awoniyi</v>
      </c>
    </row>
    <row r="44" spans="1:11" x14ac:dyDescent="0.3">
      <c r="A44" t="str">
        <f>IF('[2]Transfer History'!A44=0,"",'[2]Transfer History'!A44)</f>
        <v/>
      </c>
      <c r="B44" t="str">
        <f>IF('[2]Transfer History'!B44=0,"",'[2]Transfer History'!B44)</f>
        <v/>
      </c>
      <c r="C44" t="str">
        <f>IF('[2]Transfer History'!C44=0,"",'[2]Transfer History'!C44)</f>
        <v/>
      </c>
      <c r="D44" t="str">
        <f>IF(OR('[2]Transfer History'!D44=0,'[2]Transfer History'!D44="GW"&amp;TEAMS!$J$3),"",'[2]Transfer History'!D44)</f>
        <v/>
      </c>
      <c r="E44" t="str">
        <f t="shared" si="0"/>
        <v/>
      </c>
      <c r="F44" t="str">
        <f t="shared" si="1"/>
        <v/>
      </c>
      <c r="G44" t="str">
        <f t="shared" si="2"/>
        <v/>
      </c>
      <c r="H44" t="str">
        <f t="shared" si="3"/>
        <v/>
      </c>
      <c r="J44" s="10" t="str">
        <f>[1]FINAL!B44</f>
        <v>Richarlison</v>
      </c>
      <c r="K44" t="str">
        <f>[1]FINAL!A44</f>
        <v>Richarlison de Andrade</v>
      </c>
    </row>
    <row r="45" spans="1:11" x14ac:dyDescent="0.3">
      <c r="A45" t="str">
        <f>IF('[2]Transfer History'!A45=0,"",'[2]Transfer History'!A45)</f>
        <v/>
      </c>
      <c r="B45" t="str">
        <f>IF('[2]Transfer History'!B45=0,"",'[2]Transfer History'!B45)</f>
        <v/>
      </c>
      <c r="C45" t="str">
        <f>IF('[2]Transfer History'!C45=0,"",'[2]Transfer History'!C45)</f>
        <v/>
      </c>
      <c r="D45" t="str">
        <f>IF(OR('[2]Transfer History'!D45=0,'[2]Transfer History'!D45="GW"&amp;TEAMS!$J$3),"",'[2]Transfer History'!D45)</f>
        <v/>
      </c>
      <c r="E45" t="str">
        <f t="shared" si="0"/>
        <v/>
      </c>
      <c r="F45" t="str">
        <f t="shared" si="1"/>
        <v/>
      </c>
      <c r="G45" t="str">
        <f t="shared" si="2"/>
        <v/>
      </c>
      <c r="H45" t="str">
        <f t="shared" si="3"/>
        <v/>
      </c>
      <c r="J45" s="10" t="str">
        <f>[1]FINAL!B45</f>
        <v>Garnacho</v>
      </c>
      <c r="K45" t="str">
        <f>[1]FINAL!A45</f>
        <v>Alejandro Garnacho</v>
      </c>
    </row>
    <row r="46" spans="1:11" x14ac:dyDescent="0.3">
      <c r="A46" t="str">
        <f>IF('[2]Transfer History'!A46=0,"",'[2]Transfer History'!A46)</f>
        <v/>
      </c>
      <c r="B46" t="str">
        <f>IF('[2]Transfer History'!B46=0,"",'[2]Transfer History'!B46)</f>
        <v/>
      </c>
      <c r="C46" t="str">
        <f>IF('[2]Transfer History'!C46=0,"",'[2]Transfer History'!C46)</f>
        <v/>
      </c>
      <c r="D46" t="str">
        <f>IF(OR('[2]Transfer History'!D46=0,'[2]Transfer History'!D46="GW"&amp;TEAMS!$J$3),"",'[2]Transfer History'!D46)</f>
        <v/>
      </c>
      <c r="E46" t="str">
        <f t="shared" si="0"/>
        <v/>
      </c>
      <c r="F46" t="str">
        <f t="shared" si="1"/>
        <v/>
      </c>
      <c r="G46" t="str">
        <f t="shared" si="2"/>
        <v/>
      </c>
      <c r="H46" t="str">
        <f t="shared" si="3"/>
        <v/>
      </c>
      <c r="J46" s="10" t="str">
        <f>[1]FINAL!B46</f>
        <v>Ferguson</v>
      </c>
      <c r="K46" t="str">
        <f>[1]FINAL!A46</f>
        <v>Evan Ferguson</v>
      </c>
    </row>
    <row r="47" spans="1:11" x14ac:dyDescent="0.3">
      <c r="A47" t="str">
        <f>IF('[2]Transfer History'!A47=0,"",'[2]Transfer History'!A47)</f>
        <v/>
      </c>
      <c r="B47" t="str">
        <f>IF('[2]Transfer History'!B47=0,"",'[2]Transfer History'!B47)</f>
        <v/>
      </c>
      <c r="C47" t="str">
        <f>IF('[2]Transfer History'!C47=0,"",'[2]Transfer History'!C47)</f>
        <v/>
      </c>
      <c r="D47" t="str">
        <f>IF(OR('[2]Transfer History'!D47=0,'[2]Transfer History'!D47="GW"&amp;TEAMS!$J$3),"",'[2]Transfer History'!D47)</f>
        <v/>
      </c>
      <c r="E47" t="str">
        <f t="shared" si="0"/>
        <v/>
      </c>
      <c r="F47" t="str">
        <f t="shared" si="1"/>
        <v/>
      </c>
      <c r="G47" t="str">
        <f t="shared" si="2"/>
        <v/>
      </c>
      <c r="H47" t="str">
        <f t="shared" si="3"/>
        <v/>
      </c>
      <c r="J47" s="10">
        <f>[1]FINAL!B47</f>
        <v>0</v>
      </c>
      <c r="K47" t="str">
        <f>[1]FINAL!A47</f>
        <v>Yoane Wissa (More mins)</v>
      </c>
    </row>
    <row r="48" spans="1:11" x14ac:dyDescent="0.3">
      <c r="A48" t="str">
        <f>IF('[2]Transfer History'!A48=0,"",'[2]Transfer History'!A48)</f>
        <v/>
      </c>
      <c r="B48" t="str">
        <f>IF('[2]Transfer History'!B48=0,"",'[2]Transfer History'!B48)</f>
        <v/>
      </c>
      <c r="C48" t="str">
        <f>IF('[2]Transfer History'!C48=0,"",'[2]Transfer History'!C48)</f>
        <v/>
      </c>
      <c r="D48" t="str">
        <f>IF(OR('[2]Transfer History'!D48=0,'[2]Transfer History'!D48="GW"&amp;TEAMS!$J$3),"",'[2]Transfer History'!D48)</f>
        <v/>
      </c>
      <c r="E48" t="str">
        <f t="shared" si="0"/>
        <v/>
      </c>
      <c r="F48" t="str">
        <f t="shared" si="1"/>
        <v/>
      </c>
      <c r="G48" t="str">
        <f t="shared" si="2"/>
        <v/>
      </c>
      <c r="H48" t="str">
        <f t="shared" si="3"/>
        <v/>
      </c>
      <c r="J48" s="10" t="str">
        <f>[1]FINAL!B48</f>
        <v>Cancelo</v>
      </c>
      <c r="K48" t="str">
        <f>[1]FINAL!A48</f>
        <v>João Cancelo</v>
      </c>
    </row>
    <row r="49" spans="1:11" x14ac:dyDescent="0.3">
      <c r="A49" t="str">
        <f>IF('[2]Transfer History'!A49=0,"",'[2]Transfer History'!A49)</f>
        <v/>
      </c>
      <c r="B49" t="str">
        <f>IF('[2]Transfer History'!B49=0,"",'[2]Transfer History'!B49)</f>
        <v/>
      </c>
      <c r="C49" t="str">
        <f>IF('[2]Transfer History'!C49=0,"",'[2]Transfer History'!C49)</f>
        <v/>
      </c>
      <c r="D49" t="str">
        <f>IF(OR('[2]Transfer History'!D49=0,'[2]Transfer History'!D49="GW"&amp;TEAMS!$J$3),"",'[2]Transfer History'!D49)</f>
        <v/>
      </c>
      <c r="E49" t="str">
        <f t="shared" si="0"/>
        <v/>
      </c>
      <c r="F49" t="str">
        <f t="shared" si="1"/>
        <v/>
      </c>
      <c r="G49" t="str">
        <f t="shared" si="2"/>
        <v/>
      </c>
      <c r="H49" t="str">
        <f t="shared" si="3"/>
        <v/>
      </c>
      <c r="J49" s="10" t="str">
        <f>[1]FINAL!B49</f>
        <v>Mbeumo</v>
      </c>
      <c r="K49" t="str">
        <f>[1]FINAL!A49</f>
        <v>Bryan Mbeumo</v>
      </c>
    </row>
    <row r="50" spans="1:11" x14ac:dyDescent="0.3">
      <c r="A50" t="str">
        <f>IF('[2]Transfer History'!A50=0,"",'[2]Transfer History'!A50)</f>
        <v/>
      </c>
      <c r="B50" t="str">
        <f>IF('[2]Transfer History'!B50=0,"",'[2]Transfer History'!B50)</f>
        <v/>
      </c>
      <c r="C50" t="str">
        <f>IF('[2]Transfer History'!C50=0,"",'[2]Transfer History'!C50)</f>
        <v/>
      </c>
      <c r="D50" t="str">
        <f>IF(OR('[2]Transfer History'!D50=0,'[2]Transfer History'!D50="GW"&amp;TEAMS!$J$3),"",'[2]Transfer History'!D50)</f>
        <v/>
      </c>
      <c r="E50" t="str">
        <f t="shared" si="0"/>
        <v/>
      </c>
      <c r="F50" t="str">
        <f t="shared" si="1"/>
        <v/>
      </c>
      <c r="G50" t="str">
        <f t="shared" si="2"/>
        <v/>
      </c>
      <c r="H50" t="str">
        <f t="shared" si="3"/>
        <v/>
      </c>
      <c r="J50" s="10" t="str">
        <f>[1]FINAL!B50</f>
        <v>Stones</v>
      </c>
      <c r="K50" t="str">
        <f>[1]FINAL!A50</f>
        <v>John Stones</v>
      </c>
    </row>
    <row r="51" spans="1:11" x14ac:dyDescent="0.3">
      <c r="A51" t="str">
        <f>IF('[2]Transfer History'!A51=0,"",'[2]Transfer History'!A51)</f>
        <v/>
      </c>
      <c r="B51" t="str">
        <f>IF('[2]Transfer History'!B51=0,"",'[2]Transfer History'!B51)</f>
        <v/>
      </c>
      <c r="C51" t="str">
        <f>IF('[2]Transfer History'!C51=0,"",'[2]Transfer History'!C51)</f>
        <v/>
      </c>
      <c r="D51" t="str">
        <f>IF(OR('[2]Transfer History'!D51=0,'[2]Transfer History'!D51="GW"&amp;TEAMS!$J$3),"",'[2]Transfer History'!D51)</f>
        <v/>
      </c>
      <c r="E51" t="str">
        <f t="shared" si="0"/>
        <v/>
      </c>
      <c r="F51" t="str">
        <f t="shared" si="1"/>
        <v/>
      </c>
      <c r="G51" t="str">
        <f t="shared" si="2"/>
        <v/>
      </c>
      <c r="H51" t="str">
        <f t="shared" si="3"/>
        <v/>
      </c>
      <c r="J51" s="10" t="str">
        <f>[1]FINAL!B51</f>
        <v>Dalot</v>
      </c>
      <c r="K51" t="str">
        <f>[1]FINAL!A51</f>
        <v>Diogo Dalot Teixeira</v>
      </c>
    </row>
    <row r="52" spans="1:11" x14ac:dyDescent="0.3">
      <c r="A52" t="str">
        <f>IF('[2]Transfer History'!A52=0,"",'[2]Transfer History'!A52)</f>
        <v/>
      </c>
      <c r="B52" t="str">
        <f>IF('[2]Transfer History'!B52=0,"",'[2]Transfer History'!B52)</f>
        <v/>
      </c>
      <c r="C52" t="str">
        <f>IF('[2]Transfer History'!C52=0,"",'[2]Transfer History'!C52)</f>
        <v/>
      </c>
      <c r="D52" t="str">
        <f>IF(OR('[2]Transfer History'!D52=0,'[2]Transfer History'!D52="GW"&amp;TEAMS!$J$3),"",'[2]Transfer History'!D52)</f>
        <v/>
      </c>
      <c r="E52" t="str">
        <f t="shared" si="0"/>
        <v/>
      </c>
      <c r="F52" t="str">
        <f t="shared" si="1"/>
        <v/>
      </c>
      <c r="G52" t="str">
        <f t="shared" si="2"/>
        <v/>
      </c>
      <c r="H52" t="str">
        <f t="shared" si="3"/>
        <v/>
      </c>
      <c r="J52" s="10" t="str">
        <f>[1]FINAL!B52</f>
        <v>Gakpo</v>
      </c>
      <c r="K52" t="str">
        <f>[1]FINAL!A52</f>
        <v>Cody Gakpo</v>
      </c>
    </row>
    <row r="53" spans="1:11" x14ac:dyDescent="0.3">
      <c r="A53" t="str">
        <f>IF('[2]Transfer History'!A53=0,"",'[2]Transfer History'!A53)</f>
        <v/>
      </c>
      <c r="B53" t="str">
        <f>IF('[2]Transfer History'!B53=0,"",'[2]Transfer History'!B53)</f>
        <v/>
      </c>
      <c r="C53" t="str">
        <f>IF('[2]Transfer History'!C53=0,"",'[2]Transfer History'!C53)</f>
        <v/>
      </c>
      <c r="D53" t="str">
        <f>IF(OR('[2]Transfer History'!D53=0,'[2]Transfer History'!D53="GW"&amp;TEAMS!$J$3),"",'[2]Transfer History'!D53)</f>
        <v/>
      </c>
      <c r="E53" t="str">
        <f t="shared" si="0"/>
        <v/>
      </c>
      <c r="F53" t="str">
        <f t="shared" si="1"/>
        <v/>
      </c>
      <c r="G53" t="str">
        <f t="shared" si="2"/>
        <v/>
      </c>
      <c r="H53" t="str">
        <f t="shared" si="3"/>
        <v/>
      </c>
      <c r="J53" s="10" t="str">
        <f>[1]FINAL!B53</f>
        <v>Havertz</v>
      </c>
      <c r="K53" t="str">
        <f>[1]FINAL!A53</f>
        <v>Kai Havertz</v>
      </c>
    </row>
    <row r="54" spans="1:11" x14ac:dyDescent="0.3">
      <c r="A54" t="str">
        <f>IF('[2]Transfer History'!A54=0,"",'[2]Transfer History'!A54)</f>
        <v/>
      </c>
      <c r="B54" t="str">
        <f>IF('[2]Transfer History'!B54=0,"",'[2]Transfer History'!B54)</f>
        <v/>
      </c>
      <c r="C54" t="str">
        <f>IF('[2]Transfer History'!C54=0,"",'[2]Transfer History'!C54)</f>
        <v/>
      </c>
      <c r="D54" t="str">
        <f>IF(OR('[2]Transfer History'!D54=0,'[2]Transfer History'!D54="GW"&amp;TEAMS!$J$3),"",'[2]Transfer History'!D54)</f>
        <v/>
      </c>
      <c r="E54" t="str">
        <f t="shared" si="0"/>
        <v/>
      </c>
      <c r="F54" t="str">
        <f t="shared" si="1"/>
        <v/>
      </c>
      <c r="G54" t="str">
        <f t="shared" si="2"/>
        <v/>
      </c>
      <c r="H54" t="str">
        <f t="shared" si="3"/>
        <v/>
      </c>
      <c r="J54" s="10" t="str">
        <f>[1]FINAL!B54</f>
        <v>Sancho</v>
      </c>
      <c r="K54" t="str">
        <f>[1]FINAL!A54</f>
        <v>Jadon Sancho</v>
      </c>
    </row>
    <row r="55" spans="1:11" x14ac:dyDescent="0.3">
      <c r="A55" t="str">
        <f>IF('[2]Transfer History'!A55=0,"",'[2]Transfer History'!A55)</f>
        <v/>
      </c>
      <c r="B55" t="str">
        <f>IF('[2]Transfer History'!B55=0,"",'[2]Transfer History'!B55)</f>
        <v/>
      </c>
      <c r="C55" t="str">
        <f>IF('[2]Transfer History'!C55=0,"",'[2]Transfer History'!C55)</f>
        <v/>
      </c>
      <c r="D55" t="str">
        <f>IF(OR('[2]Transfer History'!D55=0,'[2]Transfer History'!D55="GW"&amp;TEAMS!$J$3),"",'[2]Transfer History'!D55)</f>
        <v/>
      </c>
      <c r="E55" t="str">
        <f t="shared" si="0"/>
        <v/>
      </c>
      <c r="F55" t="str">
        <f t="shared" si="1"/>
        <v/>
      </c>
      <c r="G55" t="str">
        <f t="shared" si="2"/>
        <v/>
      </c>
      <c r="H55" t="str">
        <f t="shared" si="3"/>
        <v/>
      </c>
      <c r="J55" s="10" t="str">
        <f>[1]FINAL!B55</f>
        <v>Bowen</v>
      </c>
      <c r="K55" t="str">
        <f>[1]FINAL!A55</f>
        <v>Jarrod Bowen</v>
      </c>
    </row>
    <row r="56" spans="1:11" x14ac:dyDescent="0.3">
      <c r="A56" t="str">
        <f>IF('[2]Transfer History'!A56=0,"",'[2]Transfer History'!A56)</f>
        <v/>
      </c>
      <c r="B56" t="str">
        <f>IF('[2]Transfer History'!B56=0,"",'[2]Transfer History'!B56)</f>
        <v/>
      </c>
      <c r="C56" t="str">
        <f>IF('[2]Transfer History'!C56=0,"",'[2]Transfer History'!C56)</f>
        <v/>
      </c>
      <c r="D56" t="str">
        <f>IF(OR('[2]Transfer History'!D56=0,'[2]Transfer History'!D56="GW"&amp;TEAMS!$J$3),"",'[2]Transfer History'!D56)</f>
        <v/>
      </c>
      <c r="E56" t="str">
        <f t="shared" si="0"/>
        <v/>
      </c>
      <c r="F56" t="str">
        <f t="shared" si="1"/>
        <v/>
      </c>
      <c r="G56" t="str">
        <f t="shared" si="2"/>
        <v/>
      </c>
      <c r="H56" t="str">
        <f t="shared" si="3"/>
        <v/>
      </c>
      <c r="J56" s="10" t="str">
        <f>[1]FINAL!B56</f>
        <v>Gross</v>
      </c>
      <c r="K56" t="str">
        <f>[1]FINAL!A56</f>
        <v>Pascal Groß</v>
      </c>
    </row>
    <row r="57" spans="1:11" x14ac:dyDescent="0.3">
      <c r="A57" t="str">
        <f>IF('[2]Transfer History'!A57=0,"",'[2]Transfer History'!A57)</f>
        <v/>
      </c>
      <c r="B57" t="str">
        <f>IF('[2]Transfer History'!B57=0,"",'[2]Transfer History'!B57)</f>
        <v/>
      </c>
      <c r="C57" t="str">
        <f>IF('[2]Transfer History'!C57=0,"",'[2]Transfer History'!C57)</f>
        <v/>
      </c>
      <c r="D57" t="str">
        <f>IF(OR('[2]Transfer History'!D57=0,'[2]Transfer History'!D57="GW"&amp;TEAMS!$J$3),"",'[2]Transfer History'!D57)</f>
        <v/>
      </c>
      <c r="E57" t="str">
        <f t="shared" si="0"/>
        <v/>
      </c>
      <c r="F57" t="str">
        <f t="shared" si="1"/>
        <v/>
      </c>
      <c r="G57" t="str">
        <f t="shared" si="2"/>
        <v/>
      </c>
      <c r="H57" t="str">
        <f t="shared" si="3"/>
        <v/>
      </c>
      <c r="J57" s="10" t="str">
        <f>[1]FINAL!B57</f>
        <v>Luis Díaz</v>
      </c>
      <c r="K57" t="str">
        <f>[1]FINAL!A57</f>
        <v>Luis Díaz</v>
      </c>
    </row>
    <row r="58" spans="1:11" x14ac:dyDescent="0.3">
      <c r="A58" t="str">
        <f>IF('[2]Transfer History'!A58=0,"",'[2]Transfer History'!A58)</f>
        <v/>
      </c>
      <c r="B58" t="str">
        <f>IF('[2]Transfer History'!B58=0,"",'[2]Transfer History'!B58)</f>
        <v/>
      </c>
      <c r="C58" t="str">
        <f>IF('[2]Transfer History'!C58=0,"",'[2]Transfer History'!C58)</f>
        <v/>
      </c>
      <c r="D58" t="str">
        <f>IF(OR('[2]Transfer History'!D58=0,'[2]Transfer History'!D58="GW"&amp;TEAMS!$J$3),"",'[2]Transfer History'!D58)</f>
        <v/>
      </c>
      <c r="E58" t="str">
        <f t="shared" si="0"/>
        <v/>
      </c>
      <c r="F58" t="str">
        <f t="shared" si="1"/>
        <v/>
      </c>
      <c r="G58" t="str">
        <f t="shared" si="2"/>
        <v/>
      </c>
      <c r="H58" t="str">
        <f t="shared" si="3"/>
        <v/>
      </c>
      <c r="J58" s="10" t="str">
        <f>[1]FINAL!B58</f>
        <v>Sterling</v>
      </c>
      <c r="K58" t="str">
        <f>[1]FINAL!A58</f>
        <v>Raheem Sterling</v>
      </c>
    </row>
    <row r="59" spans="1:11" x14ac:dyDescent="0.3">
      <c r="A59" t="str">
        <f>IF('[2]Transfer History'!A59=0,"",'[2]Transfer History'!A59)</f>
        <v/>
      </c>
      <c r="B59" t="str">
        <f>IF('[2]Transfer History'!B59=0,"",'[2]Transfer History'!B59)</f>
        <v/>
      </c>
      <c r="C59" t="str">
        <f>IF('[2]Transfer History'!C59=0,"",'[2]Transfer History'!C59)</f>
        <v/>
      </c>
      <c r="D59" t="str">
        <f>IF(OR('[2]Transfer History'!D59=0,'[2]Transfer History'!D59="GW"&amp;TEAMS!$J$3),"",'[2]Transfer History'!D59)</f>
        <v/>
      </c>
      <c r="E59" t="str">
        <f t="shared" si="0"/>
        <v/>
      </c>
      <c r="F59" t="str">
        <f t="shared" si="1"/>
        <v/>
      </c>
      <c r="G59" t="str">
        <f t="shared" si="2"/>
        <v/>
      </c>
      <c r="H59" t="str">
        <f t="shared" si="3"/>
        <v/>
      </c>
      <c r="J59" s="10" t="str">
        <f>[1]FINAL!B59</f>
        <v>Aké</v>
      </c>
      <c r="K59" t="str">
        <f>[1]FINAL!A59</f>
        <v>Nathan Aké</v>
      </c>
    </row>
    <row r="60" spans="1:11" x14ac:dyDescent="0.3">
      <c r="A60" t="str">
        <f>IF('[2]Transfer History'!A60=0,"",'[2]Transfer History'!A60)</f>
        <v/>
      </c>
      <c r="B60" t="str">
        <f>IF('[2]Transfer History'!B60=0,"",'[2]Transfer History'!B60)</f>
        <v/>
      </c>
      <c r="C60" t="str">
        <f>IF('[2]Transfer History'!C60=0,"",'[2]Transfer History'!C60)</f>
        <v/>
      </c>
      <c r="D60" t="str">
        <f>IF(OR('[2]Transfer History'!D60=0,'[2]Transfer History'!D60="GW"&amp;TEAMS!$J$3),"",'[2]Transfer History'!D60)</f>
        <v/>
      </c>
      <c r="E60" t="str">
        <f t="shared" si="0"/>
        <v/>
      </c>
      <c r="F60" t="str">
        <f t="shared" si="1"/>
        <v/>
      </c>
      <c r="G60" t="str">
        <f t="shared" si="2"/>
        <v/>
      </c>
      <c r="H60" t="str">
        <f t="shared" si="3"/>
        <v/>
      </c>
      <c r="J60" s="10" t="str">
        <f>[1]FINAL!B60</f>
        <v>Benrahma</v>
      </c>
      <c r="K60" t="str">
        <f>[1]FINAL!A60</f>
        <v>Saïd Benrahma</v>
      </c>
    </row>
    <row r="61" spans="1:11" x14ac:dyDescent="0.3">
      <c r="A61" t="str">
        <f>IF('[2]Transfer History'!A61=0,"",'[2]Transfer History'!A61)</f>
        <v/>
      </c>
      <c r="B61" t="str">
        <f>IF('[2]Transfer History'!B61=0,"",'[2]Transfer History'!B61)</f>
        <v/>
      </c>
      <c r="C61" t="str">
        <f>IF('[2]Transfer History'!C61=0,"",'[2]Transfer History'!C61)</f>
        <v/>
      </c>
      <c r="D61" t="str">
        <f>IF(OR('[2]Transfer History'!D61=0,'[2]Transfer History'!D61="GW"&amp;TEAMS!$J$3),"",'[2]Transfer History'!D61)</f>
        <v/>
      </c>
      <c r="E61" t="str">
        <f t="shared" si="0"/>
        <v/>
      </c>
      <c r="F61" t="str">
        <f t="shared" si="1"/>
        <v/>
      </c>
      <c r="G61" t="str">
        <f t="shared" si="2"/>
        <v/>
      </c>
      <c r="H61" t="str">
        <f t="shared" si="3"/>
        <v/>
      </c>
      <c r="J61" s="10" t="str">
        <f>[1]FINAL!B61</f>
        <v>Gabriel</v>
      </c>
      <c r="K61" t="str">
        <f>[1]FINAL!A61</f>
        <v>Gabriel dos Santos Magalhães</v>
      </c>
    </row>
    <row r="62" spans="1:11" x14ac:dyDescent="0.3">
      <c r="A62" t="str">
        <f>IF('[2]Transfer History'!A62=0,"",'[2]Transfer History'!A62)</f>
        <v/>
      </c>
      <c r="B62" t="str">
        <f>IF('[2]Transfer History'!B62=0,"",'[2]Transfer History'!B62)</f>
        <v/>
      </c>
      <c r="C62" t="str">
        <f>IF('[2]Transfer History'!C62=0,"",'[2]Transfer History'!C62)</f>
        <v/>
      </c>
      <c r="D62" t="str">
        <f>IF(OR('[2]Transfer History'!D62=0,'[2]Transfer History'!D62="GW"&amp;TEAMS!$J$3),"",'[2]Transfer History'!D62)</f>
        <v/>
      </c>
      <c r="E62" t="str">
        <f t="shared" si="0"/>
        <v/>
      </c>
      <c r="F62" t="str">
        <f t="shared" si="1"/>
        <v/>
      </c>
      <c r="G62" t="str">
        <f t="shared" si="2"/>
        <v/>
      </c>
      <c r="H62" t="str">
        <f t="shared" si="3"/>
        <v/>
      </c>
      <c r="J62" s="10" t="str">
        <f>[1]FINAL!B62</f>
        <v>Perišić</v>
      </c>
      <c r="K62" t="str">
        <f>[1]FINAL!A62</f>
        <v>Ivan Perišić</v>
      </c>
    </row>
    <row r="63" spans="1:11" x14ac:dyDescent="0.3">
      <c r="A63" t="str">
        <f>IF('[2]Transfer History'!A63=0,"",'[2]Transfer History'!A63)</f>
        <v/>
      </c>
      <c r="B63" t="str">
        <f>IF('[2]Transfer History'!B63=0,"",'[2]Transfer History'!B63)</f>
        <v/>
      </c>
      <c r="C63" t="str">
        <f>IF('[2]Transfer History'!C63=0,"",'[2]Transfer History'!C63)</f>
        <v/>
      </c>
      <c r="D63" t="str">
        <f>IF(OR('[2]Transfer History'!D63=0,'[2]Transfer History'!D63="GW"&amp;TEAMS!$J$3),"",'[2]Transfer History'!D63)</f>
        <v/>
      </c>
      <c r="E63" t="str">
        <f t="shared" si="0"/>
        <v/>
      </c>
      <c r="F63" t="str">
        <f t="shared" si="1"/>
        <v/>
      </c>
      <c r="G63" t="str">
        <f t="shared" si="2"/>
        <v/>
      </c>
      <c r="H63" t="str">
        <f t="shared" si="3"/>
        <v/>
      </c>
      <c r="J63" s="10" t="str">
        <f>[1]FINAL!B63</f>
        <v>Martial</v>
      </c>
      <c r="K63" t="str">
        <f>[1]FINAL!A63</f>
        <v>Anthony Martial</v>
      </c>
    </row>
    <row r="64" spans="1:11" x14ac:dyDescent="0.3">
      <c r="A64" t="str">
        <f>IF('[2]Transfer History'!A64=0,"",'[2]Transfer History'!A64)</f>
        <v/>
      </c>
      <c r="B64" t="str">
        <f>IF('[2]Transfer History'!B64=0,"",'[2]Transfer History'!B64)</f>
        <v/>
      </c>
      <c r="C64" t="str">
        <f>IF('[2]Transfer History'!C64=0,"",'[2]Transfer History'!C64)</f>
        <v/>
      </c>
      <c r="D64" t="str">
        <f>IF(OR('[2]Transfer History'!D64=0,'[2]Transfer History'!D64="GW"&amp;TEAMS!$J$3),"",'[2]Transfer History'!D64)</f>
        <v/>
      </c>
      <c r="E64" t="str">
        <f t="shared" si="0"/>
        <v/>
      </c>
      <c r="F64" t="str">
        <f t="shared" si="1"/>
        <v/>
      </c>
      <c r="G64" t="str">
        <f t="shared" si="2"/>
        <v/>
      </c>
      <c r="H64" t="str">
        <f t="shared" si="3"/>
        <v/>
      </c>
      <c r="J64" s="10" t="str">
        <f>[1]FINAL!B64</f>
        <v>Estupiñan</v>
      </c>
      <c r="K64" t="str">
        <f>[1]FINAL!A64</f>
        <v>Pervis Estupiñán</v>
      </c>
    </row>
    <row r="65" spans="1:11" x14ac:dyDescent="0.3">
      <c r="A65" t="str">
        <f>IF('[2]Transfer History'!A65=0,"",'[2]Transfer History'!A65)</f>
        <v/>
      </c>
      <c r="B65" t="str">
        <f>IF('[2]Transfer History'!B65=0,"",'[2]Transfer History'!B65)</f>
        <v/>
      </c>
      <c r="C65" t="str">
        <f>IF('[2]Transfer History'!C65=0,"",'[2]Transfer History'!C65)</f>
        <v/>
      </c>
      <c r="D65" t="str">
        <f>IF(OR('[2]Transfer History'!D65=0,'[2]Transfer History'!D65="GW"&amp;TEAMS!$J$3),"",'[2]Transfer History'!D65)</f>
        <v/>
      </c>
      <c r="E65" t="str">
        <f t="shared" si="0"/>
        <v/>
      </c>
      <c r="F65" t="str">
        <f t="shared" si="1"/>
        <v/>
      </c>
      <c r="G65" t="str">
        <f t="shared" si="2"/>
        <v/>
      </c>
      <c r="H65" t="str">
        <f t="shared" si="3"/>
        <v/>
      </c>
      <c r="J65" s="10" t="str">
        <f>[1]FINAL!B65</f>
        <v>Solomon</v>
      </c>
      <c r="K65" t="str">
        <f>[1]FINAL!A65</f>
        <v>Manor Solomon</v>
      </c>
    </row>
    <row r="66" spans="1:11" x14ac:dyDescent="0.3">
      <c r="A66" t="str">
        <f>IF('[2]Transfer History'!A66=0,"",'[2]Transfer History'!A66)</f>
        <v/>
      </c>
      <c r="B66" t="str">
        <f>IF('[2]Transfer History'!B66=0,"",'[2]Transfer History'!B66)</f>
        <v/>
      </c>
      <c r="C66" t="str">
        <f>IF('[2]Transfer History'!C66=0,"",'[2]Transfer History'!C66)</f>
        <v/>
      </c>
      <c r="D66" t="str">
        <f>IF(OR('[2]Transfer History'!D66=0,'[2]Transfer History'!D66="GW"&amp;TEAMS!$J$3),"",'[2]Transfer History'!D66)</f>
        <v/>
      </c>
      <c r="E66" t="str">
        <f t="shared" si="0"/>
        <v/>
      </c>
      <c r="F66" t="str">
        <f t="shared" si="1"/>
        <v/>
      </c>
      <c r="G66" t="str">
        <f t="shared" si="2"/>
        <v/>
      </c>
      <c r="H66" t="str">
        <f t="shared" si="3"/>
        <v/>
      </c>
      <c r="J66" s="10" t="str">
        <f>[1]FINAL!B66</f>
        <v>Welbeck</v>
      </c>
      <c r="K66" t="str">
        <f>[1]FINAL!A66</f>
        <v>Danny Welbeck</v>
      </c>
    </row>
    <row r="67" spans="1:11" x14ac:dyDescent="0.3">
      <c r="A67" t="str">
        <f>IF('[2]Transfer History'!A67=0,"",'[2]Transfer History'!A67)</f>
        <v/>
      </c>
      <c r="B67" t="str">
        <f>IF('[2]Transfer History'!B67=0,"",'[2]Transfer History'!B67)</f>
        <v/>
      </c>
      <c r="C67" t="str">
        <f>IF('[2]Transfer History'!C67=0,"",'[2]Transfer History'!C67)</f>
        <v/>
      </c>
      <c r="D67" t="str">
        <f>IF(OR('[2]Transfer History'!D67=0,'[2]Transfer History'!D67="GW"&amp;TEAMS!$J$3),"",'[2]Transfer History'!D67)</f>
        <v/>
      </c>
      <c r="E67" t="str">
        <f t="shared" ref="E67:E130" si="4">IFERROR(VLOOKUP(C67,$J:$K,MATCH("Player Name",$J$1:$K$1,0),0),"")</f>
        <v/>
      </c>
      <c r="F67" t="str">
        <f t="shared" ref="F67:F130" si="5">D67&amp;E67</f>
        <v/>
      </c>
      <c r="G67" t="str">
        <f t="shared" ref="G67:G130" si="6">IFERROR(VLOOKUP(B67,$J:$K,MATCH("Player Name",$J$1:$K$1,0),0),"")</f>
        <v/>
      </c>
      <c r="H67" t="str">
        <f t="shared" ref="H67:H130" si="7">E67</f>
        <v/>
      </c>
      <c r="J67" s="10" t="str">
        <f>[1]FINAL!B67</f>
        <v>Schär</v>
      </c>
      <c r="K67" t="str">
        <f>[1]FINAL!A67</f>
        <v>Fabian Schär</v>
      </c>
    </row>
    <row r="68" spans="1:11" x14ac:dyDescent="0.3">
      <c r="A68" t="str">
        <f>IF('[2]Transfer History'!A68=0,"",'[2]Transfer History'!A68)</f>
        <v/>
      </c>
      <c r="B68" t="str">
        <f>IF('[2]Transfer History'!B68=0,"",'[2]Transfer History'!B68)</f>
        <v/>
      </c>
      <c r="C68" t="str">
        <f>IF('[2]Transfer History'!C68=0,"",'[2]Transfer History'!C68)</f>
        <v/>
      </c>
      <c r="D68" t="str">
        <f>IF(OR('[2]Transfer History'!D68=0,'[2]Transfer History'!D68="GW"&amp;TEAMS!$J$3),"",'[2]Transfer History'!D68)</f>
        <v/>
      </c>
      <c r="E68" t="str">
        <f t="shared" si="4"/>
        <v/>
      </c>
      <c r="F68" t="str">
        <f t="shared" si="5"/>
        <v/>
      </c>
      <c r="G68" t="str">
        <f t="shared" si="6"/>
        <v/>
      </c>
      <c r="H68" t="str">
        <f t="shared" si="7"/>
        <v/>
      </c>
      <c r="J68" s="10" t="str">
        <f>[1]FINAL!B68</f>
        <v>Surridge</v>
      </c>
      <c r="K68" t="str">
        <f>[1]FINAL!A68</f>
        <v>Sam Surridge</v>
      </c>
    </row>
    <row r="69" spans="1:11" x14ac:dyDescent="0.3">
      <c r="A69" t="str">
        <f>IF('[2]Transfer History'!A69=0,"",'[2]Transfer History'!A69)</f>
        <v/>
      </c>
      <c r="B69" t="str">
        <f>IF('[2]Transfer History'!B69=0,"",'[2]Transfer History'!B69)</f>
        <v/>
      </c>
      <c r="C69" t="str">
        <f>IF('[2]Transfer History'!C69=0,"",'[2]Transfer History'!C69)</f>
        <v/>
      </c>
      <c r="D69" t="str">
        <f>IF(OR('[2]Transfer History'!D69=0,'[2]Transfer History'!D69="GW"&amp;TEAMS!$J$3),"",'[2]Transfer History'!D69)</f>
        <v/>
      </c>
      <c r="E69" t="str">
        <f t="shared" si="4"/>
        <v/>
      </c>
      <c r="F69" t="str">
        <f t="shared" si="5"/>
        <v/>
      </c>
      <c r="G69" t="str">
        <f t="shared" si="6"/>
        <v/>
      </c>
      <c r="H69" t="str">
        <f t="shared" si="7"/>
        <v/>
      </c>
      <c r="J69" s="10" t="str">
        <f>[1]FINAL!B69</f>
        <v>Willock</v>
      </c>
      <c r="K69" t="str">
        <f>[1]FINAL!A69</f>
        <v>Joe Willock</v>
      </c>
    </row>
    <row r="70" spans="1:11" x14ac:dyDescent="0.3">
      <c r="A70" t="str">
        <f>IF('[2]Transfer History'!A70=0,"",'[2]Transfer History'!A70)</f>
        <v/>
      </c>
      <c r="B70" t="str">
        <f>IF('[2]Transfer History'!B70=0,"",'[2]Transfer History'!B70)</f>
        <v/>
      </c>
      <c r="C70" t="str">
        <f>IF('[2]Transfer History'!C70=0,"",'[2]Transfer History'!C70)</f>
        <v/>
      </c>
      <c r="D70" t="str">
        <f>IF(OR('[2]Transfer History'!D70=0,'[2]Transfer History'!D70="GW"&amp;TEAMS!$J$3),"",'[2]Transfer History'!D70)</f>
        <v/>
      </c>
      <c r="E70" t="str">
        <f t="shared" si="4"/>
        <v/>
      </c>
      <c r="F70" t="str">
        <f t="shared" si="5"/>
        <v/>
      </c>
      <c r="G70" t="str">
        <f t="shared" si="6"/>
        <v/>
      </c>
      <c r="H70" t="str">
        <f t="shared" si="7"/>
        <v/>
      </c>
      <c r="J70" s="10" t="str">
        <f>[1]FINAL!B70</f>
        <v>Saint-Maximin</v>
      </c>
      <c r="K70" t="str">
        <f>[1]FINAL!A70</f>
        <v>Allan Saint-Maximin</v>
      </c>
    </row>
    <row r="71" spans="1:11" x14ac:dyDescent="0.3">
      <c r="A71" t="str">
        <f>IF('[2]Transfer History'!A71=0,"",'[2]Transfer History'!A71)</f>
        <v/>
      </c>
      <c r="B71" t="str">
        <f>IF('[2]Transfer History'!B71=0,"",'[2]Transfer History'!B71)</f>
        <v/>
      </c>
      <c r="C71" t="str">
        <f>IF('[2]Transfer History'!C71=0,"",'[2]Transfer History'!C71)</f>
        <v/>
      </c>
      <c r="D71" t="str">
        <f>IF(OR('[2]Transfer History'!D71=0,'[2]Transfer History'!D71="GW"&amp;TEAMS!$J$3),"",'[2]Transfer History'!D71)</f>
        <v/>
      </c>
      <c r="E71" t="str">
        <f t="shared" si="4"/>
        <v/>
      </c>
      <c r="F71" t="str">
        <f t="shared" si="5"/>
        <v/>
      </c>
      <c r="G71" t="str">
        <f t="shared" si="6"/>
        <v/>
      </c>
      <c r="H71" t="str">
        <f t="shared" si="7"/>
        <v/>
      </c>
      <c r="J71" s="10" t="str">
        <f>[1]FINAL!B71</f>
        <v>Chilwell</v>
      </c>
      <c r="K71" t="str">
        <f>[1]FINAL!A71</f>
        <v>Ben Chilwell</v>
      </c>
    </row>
    <row r="72" spans="1:11" x14ac:dyDescent="0.3">
      <c r="A72" t="str">
        <f>IF('[2]Transfer History'!A72=0,"",'[2]Transfer History'!A72)</f>
        <v/>
      </c>
      <c r="B72" t="str">
        <f>IF('[2]Transfer History'!B72=0,"",'[2]Transfer History'!B72)</f>
        <v/>
      </c>
      <c r="C72" t="str">
        <f>IF('[2]Transfer History'!C72=0,"",'[2]Transfer History'!C72)</f>
        <v/>
      </c>
      <c r="D72" t="str">
        <f>IF(OR('[2]Transfer History'!D72=0,'[2]Transfer History'!D72="GW"&amp;TEAMS!$J$3),"",'[2]Transfer History'!D72)</f>
        <v/>
      </c>
      <c r="E72" t="str">
        <f t="shared" si="4"/>
        <v/>
      </c>
      <c r="F72" t="str">
        <f t="shared" si="5"/>
        <v/>
      </c>
      <c r="G72" t="str">
        <f t="shared" si="6"/>
        <v/>
      </c>
      <c r="H72" t="str">
        <f t="shared" si="7"/>
        <v/>
      </c>
      <c r="J72" s="10" t="str">
        <f>[1]FINAL!B72</f>
        <v>Tavernier</v>
      </c>
      <c r="K72" t="str">
        <f>[1]FINAL!A72</f>
        <v>Marcus Tavernier</v>
      </c>
    </row>
    <row r="73" spans="1:11" x14ac:dyDescent="0.3">
      <c r="A73" t="str">
        <f>IF('[2]Transfer History'!A73=0,"",'[2]Transfer History'!A73)</f>
        <v/>
      </c>
      <c r="B73" t="str">
        <f>IF('[2]Transfer History'!B73=0,"",'[2]Transfer History'!B73)</f>
        <v/>
      </c>
      <c r="C73" t="str">
        <f>IF('[2]Transfer History'!C73=0,"",'[2]Transfer History'!C73)</f>
        <v/>
      </c>
      <c r="D73" t="str">
        <f>IF(OR('[2]Transfer History'!D73=0,'[2]Transfer History'!D73="GW"&amp;TEAMS!$J$3),"",'[2]Transfer History'!D73)</f>
        <v/>
      </c>
      <c r="E73" t="str">
        <f t="shared" si="4"/>
        <v/>
      </c>
      <c r="F73" t="str">
        <f t="shared" si="5"/>
        <v/>
      </c>
      <c r="G73" t="str">
        <f t="shared" si="6"/>
        <v/>
      </c>
      <c r="H73" t="str">
        <f t="shared" si="7"/>
        <v/>
      </c>
      <c r="J73" s="10" t="str">
        <f>[1]FINAL!B73</f>
        <v>Robertson</v>
      </c>
      <c r="K73" t="str">
        <f>[1]FINAL!A73</f>
        <v>Andrew Robertson</v>
      </c>
    </row>
    <row r="74" spans="1:11" x14ac:dyDescent="0.3">
      <c r="A74" t="str">
        <f>IF('[2]Transfer History'!A74=0,"",'[2]Transfer History'!A74)</f>
        <v/>
      </c>
      <c r="B74" t="str">
        <f>IF('[2]Transfer History'!B74=0,"",'[2]Transfer History'!B74)</f>
        <v/>
      </c>
      <c r="C74" t="str">
        <f>IF('[2]Transfer History'!C74=0,"",'[2]Transfer History'!C74)</f>
        <v/>
      </c>
      <c r="D74" t="str">
        <f>IF(OR('[2]Transfer History'!D74=0,'[2]Transfer History'!D74="GW"&amp;TEAMS!$J$3),"",'[2]Transfer History'!D74)</f>
        <v/>
      </c>
      <c r="E74" t="str">
        <f t="shared" si="4"/>
        <v/>
      </c>
      <c r="F74" t="str">
        <f t="shared" si="5"/>
        <v/>
      </c>
      <c r="G74" t="str">
        <f t="shared" si="6"/>
        <v/>
      </c>
      <c r="H74" t="str">
        <f t="shared" si="7"/>
        <v/>
      </c>
      <c r="J74" s="10" t="str">
        <f>[1]FINAL!B74</f>
        <v>Keane</v>
      </c>
      <c r="K74" t="str">
        <f>[1]FINAL!A74</f>
        <v>Michael Keane</v>
      </c>
    </row>
    <row r="75" spans="1:11" x14ac:dyDescent="0.3">
      <c r="A75" t="str">
        <f>IF('[2]Transfer History'!A75=0,"",'[2]Transfer History'!A75)</f>
        <v/>
      </c>
      <c r="B75" t="str">
        <f>IF('[2]Transfer History'!B75=0,"",'[2]Transfer History'!B75)</f>
        <v/>
      </c>
      <c r="C75" t="str">
        <f>IF('[2]Transfer History'!C75=0,"",'[2]Transfer History'!C75)</f>
        <v/>
      </c>
      <c r="D75" t="str">
        <f>IF(OR('[2]Transfer History'!D75=0,'[2]Transfer History'!D75="GW"&amp;TEAMS!$J$3),"",'[2]Transfer History'!D75)</f>
        <v/>
      </c>
      <c r="E75" t="str">
        <f t="shared" si="4"/>
        <v/>
      </c>
      <c r="F75" t="str">
        <f t="shared" si="5"/>
        <v/>
      </c>
      <c r="G75" t="str">
        <f t="shared" si="6"/>
        <v/>
      </c>
      <c r="H75" t="str">
        <f t="shared" si="7"/>
        <v/>
      </c>
      <c r="J75" s="10" t="str">
        <f>[1]FINAL!B75</f>
        <v>Buendia</v>
      </c>
      <c r="K75" t="str">
        <f>[1]FINAL!A75</f>
        <v>Emiliano Buendía Stati</v>
      </c>
    </row>
    <row r="76" spans="1:11" x14ac:dyDescent="0.3">
      <c r="A76" t="str">
        <f>IF('[2]Transfer History'!A76=0,"",'[2]Transfer History'!A76)</f>
        <v/>
      </c>
      <c r="B76" t="str">
        <f>IF('[2]Transfer History'!B76=0,"",'[2]Transfer History'!B76)</f>
        <v/>
      </c>
      <c r="C76" t="str">
        <f>IF('[2]Transfer History'!C76=0,"",'[2]Transfer History'!C76)</f>
        <v/>
      </c>
      <c r="D76" t="str">
        <f>IF(OR('[2]Transfer History'!D76=0,'[2]Transfer History'!D76="GW"&amp;TEAMS!$J$3),"",'[2]Transfer History'!D76)</f>
        <v/>
      </c>
      <c r="E76" t="str">
        <f t="shared" si="4"/>
        <v/>
      </c>
      <c r="F76" t="str">
        <f t="shared" si="5"/>
        <v/>
      </c>
      <c r="G76" t="str">
        <f t="shared" si="6"/>
        <v/>
      </c>
      <c r="H76" t="str">
        <f t="shared" si="7"/>
        <v/>
      </c>
      <c r="J76" s="10" t="str">
        <f>[1]FINAL!B76</f>
        <v>Olise</v>
      </c>
      <c r="K76" t="str">
        <f>[1]FINAL!A76</f>
        <v>Michael Olise</v>
      </c>
    </row>
    <row r="77" spans="1:11" x14ac:dyDescent="0.3">
      <c r="A77" t="str">
        <f>IF('[2]Transfer History'!A77=0,"",'[2]Transfer History'!A77)</f>
        <v/>
      </c>
      <c r="B77" t="str">
        <f>IF('[2]Transfer History'!B77=0,"",'[2]Transfer History'!B77)</f>
        <v/>
      </c>
      <c r="C77" t="str">
        <f>IF('[2]Transfer History'!C77=0,"",'[2]Transfer History'!C77)</f>
        <v/>
      </c>
      <c r="D77" t="str">
        <f>IF(OR('[2]Transfer History'!D77=0,'[2]Transfer History'!D77="GW"&amp;TEAMS!$J$3),"",'[2]Transfer History'!D77)</f>
        <v/>
      </c>
      <c r="E77" t="str">
        <f t="shared" si="4"/>
        <v/>
      </c>
      <c r="F77" t="str">
        <f t="shared" si="5"/>
        <v/>
      </c>
      <c r="G77" t="str">
        <f t="shared" si="6"/>
        <v/>
      </c>
      <c r="H77" t="str">
        <f t="shared" si="7"/>
        <v/>
      </c>
      <c r="J77" s="10">
        <f>[1]FINAL!B77</f>
        <v>0</v>
      </c>
      <c r="K77" t="str">
        <f>[1]FINAL!A77</f>
        <v>Destiny Udogie</v>
      </c>
    </row>
    <row r="78" spans="1:11" x14ac:dyDescent="0.3">
      <c r="A78" t="str">
        <f>IF('[2]Transfer History'!A78=0,"",'[2]Transfer History'!A78)</f>
        <v/>
      </c>
      <c r="B78" t="str">
        <f>IF('[2]Transfer History'!B78=0,"",'[2]Transfer History'!B78)</f>
        <v/>
      </c>
      <c r="C78" t="str">
        <f>IF('[2]Transfer History'!C78=0,"",'[2]Transfer History'!C78)</f>
        <v/>
      </c>
      <c r="D78" t="str">
        <f>IF(OR('[2]Transfer History'!D78=0,'[2]Transfer History'!D78="GW"&amp;TEAMS!$J$3),"",'[2]Transfer History'!D78)</f>
        <v/>
      </c>
      <c r="E78" t="str">
        <f t="shared" si="4"/>
        <v/>
      </c>
      <c r="F78" t="str">
        <f t="shared" si="5"/>
        <v/>
      </c>
      <c r="G78" t="str">
        <f t="shared" si="6"/>
        <v/>
      </c>
      <c r="H78" t="str">
        <f t="shared" si="7"/>
        <v/>
      </c>
      <c r="J78" s="10" t="str">
        <f>[1]FINAL!B78</f>
        <v>Barnes</v>
      </c>
      <c r="K78" t="str">
        <f>[1]FINAL!A78</f>
        <v>Harvey Barnes</v>
      </c>
    </row>
    <row r="79" spans="1:11" x14ac:dyDescent="0.3">
      <c r="A79" t="str">
        <f>IF('[2]Transfer History'!A79=0,"",'[2]Transfer History'!A79)</f>
        <v/>
      </c>
      <c r="B79" t="str">
        <f>IF('[2]Transfer History'!B79=0,"",'[2]Transfer History'!B79)</f>
        <v/>
      </c>
      <c r="C79" t="str">
        <f>IF('[2]Transfer History'!C79=0,"",'[2]Transfer History'!C79)</f>
        <v/>
      </c>
      <c r="D79" t="str">
        <f>IF(OR('[2]Transfer History'!D79=0,'[2]Transfer History'!D79="GW"&amp;TEAMS!$J$3),"",'[2]Transfer History'!D79)</f>
        <v/>
      </c>
      <c r="E79" t="str">
        <f t="shared" si="4"/>
        <v/>
      </c>
      <c r="F79" t="str">
        <f t="shared" si="5"/>
        <v/>
      </c>
      <c r="G79" t="str">
        <f t="shared" si="6"/>
        <v/>
      </c>
      <c r="H79" t="str">
        <f t="shared" si="7"/>
        <v/>
      </c>
      <c r="J79" s="10" t="str">
        <f>[1]FINAL!B79</f>
        <v>Shaw</v>
      </c>
      <c r="K79" t="str">
        <f>[1]FINAL!A79</f>
        <v>Luke Shaw</v>
      </c>
    </row>
    <row r="80" spans="1:11" x14ac:dyDescent="0.3">
      <c r="A80" t="str">
        <f>IF('[2]Transfer History'!A80=0,"",'[2]Transfer History'!A80)</f>
        <v/>
      </c>
      <c r="B80" t="str">
        <f>IF('[2]Transfer History'!B80=0,"",'[2]Transfer History'!B80)</f>
        <v/>
      </c>
      <c r="C80" t="str">
        <f>IF('[2]Transfer History'!C80=0,"",'[2]Transfer History'!C80)</f>
        <v/>
      </c>
      <c r="D80" t="str">
        <f>IF(OR('[2]Transfer History'!D80=0,'[2]Transfer History'!D80="GW"&amp;TEAMS!$J$3),"",'[2]Transfer History'!D80)</f>
        <v/>
      </c>
      <c r="E80" t="str">
        <f t="shared" si="4"/>
        <v/>
      </c>
      <c r="F80" t="str">
        <f t="shared" si="5"/>
        <v/>
      </c>
      <c r="G80" t="str">
        <f t="shared" si="6"/>
        <v/>
      </c>
      <c r="H80" t="str">
        <f t="shared" si="7"/>
        <v/>
      </c>
      <c r="J80" s="10" t="str">
        <f>[1]FINAL!B80</f>
        <v>Saliba</v>
      </c>
      <c r="K80" t="str">
        <f>[1]FINAL!A80</f>
        <v>William Saliba</v>
      </c>
    </row>
    <row r="81" spans="1:11" x14ac:dyDescent="0.3">
      <c r="A81" t="str">
        <f>IF('[2]Transfer History'!A81=0,"",'[2]Transfer History'!A81)</f>
        <v/>
      </c>
      <c r="B81" t="str">
        <f>IF('[2]Transfer History'!B81=0,"",'[2]Transfer History'!B81)</f>
        <v/>
      </c>
      <c r="C81" t="str">
        <f>IF('[2]Transfer History'!C81=0,"",'[2]Transfer History'!C81)</f>
        <v/>
      </c>
      <c r="D81" t="str">
        <f>IF(OR('[2]Transfer History'!D81=0,'[2]Transfer History'!D81="GW"&amp;TEAMS!$J$3),"",'[2]Transfer History'!D81)</f>
        <v/>
      </c>
      <c r="E81" t="str">
        <f t="shared" si="4"/>
        <v/>
      </c>
      <c r="F81" t="str">
        <f t="shared" si="5"/>
        <v/>
      </c>
      <c r="G81" t="str">
        <f t="shared" si="6"/>
        <v/>
      </c>
      <c r="H81" t="str">
        <f t="shared" si="7"/>
        <v/>
      </c>
      <c r="J81" s="10" t="str">
        <f>[1]FINAL!B81</f>
        <v>Wissa</v>
      </c>
      <c r="K81" t="str">
        <f>[1]FINAL!A81</f>
        <v>Yoane Wissa</v>
      </c>
    </row>
    <row r="82" spans="1:11" x14ac:dyDescent="0.3">
      <c r="A82" t="str">
        <f>IF('[2]Transfer History'!A82=0,"",'[2]Transfer History'!A82)</f>
        <v/>
      </c>
      <c r="B82" t="str">
        <f>IF('[2]Transfer History'!B82=0,"",'[2]Transfer History'!B82)</f>
        <v/>
      </c>
      <c r="C82" t="str">
        <f>IF('[2]Transfer History'!C82=0,"",'[2]Transfer History'!C82)</f>
        <v/>
      </c>
      <c r="D82" t="str">
        <f>IF(OR('[2]Transfer History'!D82=0,'[2]Transfer History'!D82="GW"&amp;TEAMS!$J$3),"",'[2]Transfer History'!D82)</f>
        <v/>
      </c>
      <c r="E82" t="str">
        <f t="shared" si="4"/>
        <v/>
      </c>
      <c r="F82" t="str">
        <f t="shared" si="5"/>
        <v/>
      </c>
      <c r="G82" t="str">
        <f t="shared" si="6"/>
        <v/>
      </c>
      <c r="H82" t="str">
        <f t="shared" si="7"/>
        <v/>
      </c>
      <c r="J82" s="10" t="str">
        <f>[1]FINAL!B82</f>
        <v>Anderson</v>
      </c>
      <c r="K82" t="str">
        <f>[1]FINAL!A82</f>
        <v>Elliot Anderson</v>
      </c>
    </row>
    <row r="83" spans="1:11" x14ac:dyDescent="0.3">
      <c r="A83" t="str">
        <f>IF('[2]Transfer History'!A83=0,"",'[2]Transfer History'!A83)</f>
        <v/>
      </c>
      <c r="B83" t="str">
        <f>IF('[2]Transfer History'!B83=0,"",'[2]Transfer History'!B83)</f>
        <v/>
      </c>
      <c r="C83" t="str">
        <f>IF('[2]Transfer History'!C83=0,"",'[2]Transfer History'!C83)</f>
        <v/>
      </c>
      <c r="D83" t="str">
        <f>IF(OR('[2]Transfer History'!D83=0,'[2]Transfer History'!D83="GW"&amp;TEAMS!$J$3),"",'[2]Transfer History'!D83)</f>
        <v/>
      </c>
      <c r="E83" t="str">
        <f t="shared" si="4"/>
        <v/>
      </c>
      <c r="F83" t="str">
        <f t="shared" si="5"/>
        <v/>
      </c>
      <c r="G83" t="str">
        <f t="shared" si="6"/>
        <v/>
      </c>
      <c r="H83" t="str">
        <f t="shared" si="7"/>
        <v/>
      </c>
      <c r="J83" s="10">
        <f>[1]FINAL!B83</f>
        <v>0</v>
      </c>
      <c r="K83" t="str">
        <f>[1]FINAL!A83</f>
        <v>Moussa Diaby</v>
      </c>
    </row>
    <row r="84" spans="1:11" x14ac:dyDescent="0.3">
      <c r="A84" t="str">
        <f>IF('[2]Transfer History'!A84=0,"",'[2]Transfer History'!A84)</f>
        <v/>
      </c>
      <c r="B84" t="str">
        <f>IF('[2]Transfer History'!B84=0,"",'[2]Transfer History'!B84)</f>
        <v/>
      </c>
      <c r="C84" t="str">
        <f>IF('[2]Transfer History'!C84=0,"",'[2]Transfer History'!C84)</f>
        <v/>
      </c>
      <c r="D84" t="str">
        <f>IF(OR('[2]Transfer History'!D84=0,'[2]Transfer History'!D84="GW"&amp;TEAMS!$J$3),"",'[2]Transfer History'!D84)</f>
        <v/>
      </c>
      <c r="E84" t="str">
        <f t="shared" si="4"/>
        <v/>
      </c>
      <c r="F84" t="str">
        <f t="shared" si="5"/>
        <v/>
      </c>
      <c r="G84" t="str">
        <f t="shared" si="6"/>
        <v/>
      </c>
      <c r="H84" t="str">
        <f t="shared" si="7"/>
        <v/>
      </c>
      <c r="J84" s="10" t="str">
        <f>[1]FINAL!B84</f>
        <v>White</v>
      </c>
      <c r="K84" t="str">
        <f>[1]FINAL!A84</f>
        <v>Benjamin White</v>
      </c>
    </row>
    <row r="85" spans="1:11" x14ac:dyDescent="0.3">
      <c r="A85" t="str">
        <f>IF('[2]Transfer History'!A85=0,"",'[2]Transfer History'!A85)</f>
        <v/>
      </c>
      <c r="B85" t="str">
        <f>IF('[2]Transfer History'!B85=0,"",'[2]Transfer History'!B85)</f>
        <v/>
      </c>
      <c r="C85" t="str">
        <f>IF('[2]Transfer History'!C85=0,"",'[2]Transfer History'!C85)</f>
        <v/>
      </c>
      <c r="D85" t="str">
        <f>IF(OR('[2]Transfer History'!D85=0,'[2]Transfer History'!D85="GW"&amp;TEAMS!$J$3),"",'[2]Transfer History'!D85)</f>
        <v/>
      </c>
      <c r="E85" t="str">
        <f t="shared" si="4"/>
        <v/>
      </c>
      <c r="F85" t="str">
        <f t="shared" si="5"/>
        <v/>
      </c>
      <c r="G85" t="str">
        <f t="shared" si="6"/>
        <v/>
      </c>
      <c r="H85" t="str">
        <f t="shared" si="7"/>
        <v/>
      </c>
      <c r="J85" s="10" t="str">
        <f>[1]FINAL!B85</f>
        <v>Gibbs-White</v>
      </c>
      <c r="K85" t="str">
        <f>[1]FINAL!A85</f>
        <v>Morgan Gibbs-White</v>
      </c>
    </row>
    <row r="86" spans="1:11" x14ac:dyDescent="0.3">
      <c r="A86" t="str">
        <f>IF('[2]Transfer History'!A86=0,"",'[2]Transfer History'!A86)</f>
        <v/>
      </c>
      <c r="B86" t="str">
        <f>IF('[2]Transfer History'!B86=0,"",'[2]Transfer History'!B86)</f>
        <v/>
      </c>
      <c r="C86" t="str">
        <f>IF('[2]Transfer History'!C86=0,"",'[2]Transfer History'!C86)</f>
        <v/>
      </c>
      <c r="D86" t="str">
        <f>IF(OR('[2]Transfer History'!D86=0,'[2]Transfer History'!D86="GW"&amp;TEAMS!$J$3),"",'[2]Transfer History'!D86)</f>
        <v/>
      </c>
      <c r="E86" t="str">
        <f t="shared" si="4"/>
        <v/>
      </c>
      <c r="F86" t="str">
        <f t="shared" si="5"/>
        <v/>
      </c>
      <c r="G86" t="str">
        <f t="shared" si="6"/>
        <v/>
      </c>
      <c r="H86" t="str">
        <f t="shared" si="7"/>
        <v/>
      </c>
      <c r="J86" s="10" t="str">
        <f>[1]FINAL!B86</f>
        <v>Eriksen</v>
      </c>
      <c r="K86" t="str">
        <f>[1]FINAL!A86</f>
        <v>Christian Eriksen</v>
      </c>
    </row>
    <row r="87" spans="1:11" x14ac:dyDescent="0.3">
      <c r="A87" t="str">
        <f>IF('[2]Transfer History'!A87=0,"",'[2]Transfer History'!A87)</f>
        <v/>
      </c>
      <c r="B87" t="str">
        <f>IF('[2]Transfer History'!B87=0,"",'[2]Transfer History'!B87)</f>
        <v/>
      </c>
      <c r="C87" t="str">
        <f>IF('[2]Transfer History'!C87=0,"",'[2]Transfer History'!C87)</f>
        <v/>
      </c>
      <c r="D87" t="str">
        <f>IF(OR('[2]Transfer History'!D87=0,'[2]Transfer History'!D87="GW"&amp;TEAMS!$J$3),"",'[2]Transfer History'!D87)</f>
        <v/>
      </c>
      <c r="E87" t="str">
        <f t="shared" si="4"/>
        <v/>
      </c>
      <c r="F87" t="str">
        <f t="shared" si="5"/>
        <v/>
      </c>
      <c r="G87" t="str">
        <f t="shared" si="6"/>
        <v/>
      </c>
      <c r="H87" t="str">
        <f t="shared" si="7"/>
        <v/>
      </c>
      <c r="J87" s="10" t="str">
        <f>[1]FINAL!B87</f>
        <v>Virgil</v>
      </c>
      <c r="K87" t="str">
        <f>[1]FINAL!A87</f>
        <v>Virgil van Dijk</v>
      </c>
    </row>
    <row r="88" spans="1:11" x14ac:dyDescent="0.3">
      <c r="A88" t="str">
        <f>IF('[2]Transfer History'!A88=0,"",'[2]Transfer History'!A88)</f>
        <v/>
      </c>
      <c r="B88" t="str">
        <f>IF('[2]Transfer History'!B88=0,"",'[2]Transfer History'!B88)</f>
        <v/>
      </c>
      <c r="C88" t="str">
        <f>IF('[2]Transfer History'!C88=0,"",'[2]Transfer History'!C88)</f>
        <v/>
      </c>
      <c r="D88" t="str">
        <f>IF(OR('[2]Transfer History'!D88=0,'[2]Transfer History'!D88="GW"&amp;TEAMS!$J$3),"",'[2]Transfer History'!D88)</f>
        <v/>
      </c>
      <c r="E88" t="str">
        <f t="shared" si="4"/>
        <v/>
      </c>
      <c r="F88" t="str">
        <f t="shared" si="5"/>
        <v/>
      </c>
      <c r="G88" t="str">
        <f t="shared" si="6"/>
        <v/>
      </c>
      <c r="H88" t="str">
        <f t="shared" si="7"/>
        <v/>
      </c>
      <c r="J88" s="10" t="str">
        <f>[1]FINAL!B88</f>
        <v>E.Royal</v>
      </c>
      <c r="K88" t="str">
        <f>[1]FINAL!A88</f>
        <v>Emerson Leite de Souza Junior</v>
      </c>
    </row>
    <row r="89" spans="1:11" x14ac:dyDescent="0.3">
      <c r="A89" t="str">
        <f>IF('[2]Transfer History'!A89=0,"",'[2]Transfer History'!A89)</f>
        <v/>
      </c>
      <c r="B89" t="str">
        <f>IF('[2]Transfer History'!B89=0,"",'[2]Transfer History'!B89)</f>
        <v/>
      </c>
      <c r="C89" t="str">
        <f>IF('[2]Transfer History'!C89=0,"",'[2]Transfer History'!C89)</f>
        <v/>
      </c>
      <c r="D89" t="str">
        <f>IF(OR('[2]Transfer History'!D89=0,'[2]Transfer History'!D89="GW"&amp;TEAMS!$J$3),"",'[2]Transfer History'!D89)</f>
        <v/>
      </c>
      <c r="E89" t="str">
        <f t="shared" si="4"/>
        <v/>
      </c>
      <c r="F89" t="str">
        <f t="shared" si="5"/>
        <v/>
      </c>
      <c r="G89" t="str">
        <f t="shared" si="6"/>
        <v/>
      </c>
      <c r="H89" t="str">
        <f t="shared" si="7"/>
        <v/>
      </c>
      <c r="J89" s="10" t="str">
        <f>[1]FINAL!B89</f>
        <v>J.Ramsey</v>
      </c>
      <c r="K89" t="str">
        <f>[1]FINAL!A89</f>
        <v>Jacob Ramsey</v>
      </c>
    </row>
    <row r="90" spans="1:11" x14ac:dyDescent="0.3">
      <c r="A90" t="str">
        <f>IF('[2]Transfer History'!A90=0,"",'[2]Transfer History'!A90)</f>
        <v/>
      </c>
      <c r="B90" t="str">
        <f>IF('[2]Transfer History'!B90=0,"",'[2]Transfer History'!B90)</f>
        <v/>
      </c>
      <c r="C90" t="str">
        <f>IF('[2]Transfer History'!C90=0,"",'[2]Transfer History'!C90)</f>
        <v/>
      </c>
      <c r="D90" t="str">
        <f>IF(OR('[2]Transfer History'!D90=0,'[2]Transfer History'!D90="GW"&amp;TEAMS!$J$3),"",'[2]Transfer History'!D90)</f>
        <v/>
      </c>
      <c r="E90" t="str">
        <f t="shared" si="4"/>
        <v/>
      </c>
      <c r="F90" t="str">
        <f t="shared" si="5"/>
        <v/>
      </c>
      <c r="G90" t="str">
        <f t="shared" si="6"/>
        <v/>
      </c>
      <c r="H90" t="str">
        <f t="shared" si="7"/>
        <v/>
      </c>
      <c r="J90" s="10" t="str">
        <f>[1]FINAL!B90</f>
        <v>Solanke</v>
      </c>
      <c r="K90" t="str">
        <f>[1]FINAL!A90</f>
        <v>Dominic Solanke</v>
      </c>
    </row>
    <row r="91" spans="1:11" x14ac:dyDescent="0.3">
      <c r="A91" t="str">
        <f>IF('[2]Transfer History'!A91=0,"",'[2]Transfer History'!A91)</f>
        <v/>
      </c>
      <c r="B91" t="str">
        <f>IF('[2]Transfer History'!B91=0,"",'[2]Transfer History'!B91)</f>
        <v/>
      </c>
      <c r="C91" t="str">
        <f>IF('[2]Transfer History'!C91=0,"",'[2]Transfer History'!C91)</f>
        <v/>
      </c>
      <c r="D91" t="str">
        <f>IF(OR('[2]Transfer History'!D91=0,'[2]Transfer History'!D91="GW"&amp;TEAMS!$J$3),"",'[2]Transfer History'!D91)</f>
        <v/>
      </c>
      <c r="E91" t="str">
        <f t="shared" si="4"/>
        <v/>
      </c>
      <c r="F91" t="str">
        <f t="shared" si="5"/>
        <v/>
      </c>
      <c r="G91" t="str">
        <f t="shared" si="6"/>
        <v/>
      </c>
      <c r="H91" t="str">
        <f t="shared" si="7"/>
        <v/>
      </c>
      <c r="J91" s="10" t="str">
        <f>[1]FINAL!B91</f>
        <v>Johnson</v>
      </c>
      <c r="K91" t="str">
        <f>[1]FINAL!A91</f>
        <v>Brennan Johnson</v>
      </c>
    </row>
    <row r="92" spans="1:11" x14ac:dyDescent="0.3">
      <c r="A92" t="str">
        <f>IF('[2]Transfer History'!A92=0,"",'[2]Transfer History'!A92)</f>
        <v/>
      </c>
      <c r="B92" t="str">
        <f>IF('[2]Transfer History'!B92=0,"",'[2]Transfer History'!B92)</f>
        <v/>
      </c>
      <c r="C92" t="str">
        <f>IF('[2]Transfer History'!C92=0,"",'[2]Transfer History'!C92)</f>
        <v/>
      </c>
      <c r="D92" t="str">
        <f>IF(OR('[2]Transfer History'!D92=0,'[2]Transfer History'!D92="GW"&amp;TEAMS!$J$3),"",'[2]Transfer History'!D92)</f>
        <v/>
      </c>
      <c r="E92" t="str">
        <f t="shared" si="4"/>
        <v/>
      </c>
      <c r="F92" t="str">
        <f t="shared" si="5"/>
        <v/>
      </c>
      <c r="G92" t="str">
        <f t="shared" si="6"/>
        <v/>
      </c>
      <c r="H92" t="str">
        <f t="shared" si="7"/>
        <v/>
      </c>
      <c r="J92" s="10" t="str">
        <f>[1]FINAL!B92</f>
        <v>McNeil</v>
      </c>
      <c r="K92" t="str">
        <f>[1]FINAL!A92</f>
        <v>Dwight McNeil</v>
      </c>
    </row>
    <row r="93" spans="1:11" x14ac:dyDescent="0.3">
      <c r="A93" t="str">
        <f>IF('[2]Transfer History'!A93=0,"",'[2]Transfer History'!A93)</f>
        <v/>
      </c>
      <c r="B93" t="str">
        <f>IF('[2]Transfer History'!B93=0,"",'[2]Transfer History'!B93)</f>
        <v/>
      </c>
      <c r="C93" t="str">
        <f>IF('[2]Transfer History'!C93=0,"",'[2]Transfer History'!C93)</f>
        <v/>
      </c>
      <c r="D93" t="str">
        <f>IF(OR('[2]Transfer History'!D93=0,'[2]Transfer History'!D93="GW"&amp;TEAMS!$J$3),"",'[2]Transfer History'!D93)</f>
        <v/>
      </c>
      <c r="E93" t="str">
        <f t="shared" si="4"/>
        <v/>
      </c>
      <c r="F93" t="str">
        <f t="shared" si="5"/>
        <v/>
      </c>
      <c r="G93" t="str">
        <f t="shared" si="6"/>
        <v/>
      </c>
      <c r="H93" t="str">
        <f t="shared" si="7"/>
        <v/>
      </c>
      <c r="J93" s="10" t="str">
        <f>[1]FINAL!B93</f>
        <v>Doherty</v>
      </c>
      <c r="K93" t="str">
        <f>[1]FINAL!A93</f>
        <v>Matt Doherty</v>
      </c>
    </row>
    <row r="94" spans="1:11" x14ac:dyDescent="0.3">
      <c r="A94" t="str">
        <f>IF('[2]Transfer History'!A94=0,"",'[2]Transfer History'!A94)</f>
        <v/>
      </c>
      <c r="B94" t="str">
        <f>IF('[2]Transfer History'!B94=0,"",'[2]Transfer History'!B94)</f>
        <v/>
      </c>
      <c r="C94" t="str">
        <f>IF('[2]Transfer History'!C94=0,"",'[2]Transfer History'!C94)</f>
        <v/>
      </c>
      <c r="D94" t="str">
        <f>IF(OR('[2]Transfer History'!D94=0,'[2]Transfer History'!D94="GW"&amp;TEAMS!$J$3),"",'[2]Transfer History'!D94)</f>
        <v/>
      </c>
      <c r="E94" t="str">
        <f t="shared" si="4"/>
        <v/>
      </c>
      <c r="F94" t="str">
        <f t="shared" si="5"/>
        <v/>
      </c>
      <c r="G94" t="str">
        <f t="shared" si="6"/>
        <v/>
      </c>
      <c r="H94" t="str">
        <f t="shared" si="7"/>
        <v/>
      </c>
      <c r="J94" s="10" t="str">
        <f>[1]FINAL!B94</f>
        <v>Xhaka</v>
      </c>
      <c r="K94" t="str">
        <f>[1]FINAL!A94</f>
        <v>Granit Xhaka</v>
      </c>
    </row>
    <row r="95" spans="1:11" x14ac:dyDescent="0.3">
      <c r="A95" t="str">
        <f>IF('[2]Transfer History'!A95=0,"",'[2]Transfer History'!A95)</f>
        <v/>
      </c>
      <c r="B95" t="str">
        <f>IF('[2]Transfer History'!B95=0,"",'[2]Transfer History'!B95)</f>
        <v/>
      </c>
      <c r="C95" t="str">
        <f>IF('[2]Transfer History'!C95=0,"",'[2]Transfer History'!C95)</f>
        <v/>
      </c>
      <c r="D95" t="str">
        <f>IF(OR('[2]Transfer History'!D95=0,'[2]Transfer History'!D95="GW"&amp;TEAMS!$J$3),"",'[2]Transfer History'!D95)</f>
        <v/>
      </c>
      <c r="E95" t="str">
        <f t="shared" si="4"/>
        <v/>
      </c>
      <c r="F95" t="str">
        <f t="shared" si="5"/>
        <v/>
      </c>
      <c r="G95" t="str">
        <f t="shared" si="6"/>
        <v/>
      </c>
      <c r="H95" t="str">
        <f t="shared" si="7"/>
        <v/>
      </c>
      <c r="J95" s="10" t="str">
        <f>[1]FINAL!B95</f>
        <v>Colwill</v>
      </c>
      <c r="K95" t="str">
        <f>[1]FINAL!A95</f>
        <v>Levi Colwill</v>
      </c>
    </row>
    <row r="96" spans="1:11" x14ac:dyDescent="0.3">
      <c r="A96" t="str">
        <f>IF('[2]Transfer History'!A96=0,"",'[2]Transfer History'!A96)</f>
        <v/>
      </c>
      <c r="B96" t="str">
        <f>IF('[2]Transfer History'!B96=0,"",'[2]Transfer History'!B96)</f>
        <v/>
      </c>
      <c r="C96" t="str">
        <f>IF('[2]Transfer History'!C96=0,"",'[2]Transfer History'!C96)</f>
        <v/>
      </c>
      <c r="D96" t="str">
        <f>IF(OR('[2]Transfer History'!D96=0,'[2]Transfer History'!D96="GW"&amp;TEAMS!$J$3),"",'[2]Transfer History'!D96)</f>
        <v/>
      </c>
      <c r="E96" t="str">
        <f t="shared" si="4"/>
        <v/>
      </c>
      <c r="F96" t="str">
        <f t="shared" si="5"/>
        <v/>
      </c>
      <c r="G96" t="str">
        <f t="shared" si="6"/>
        <v/>
      </c>
      <c r="H96" t="str">
        <f t="shared" si="7"/>
        <v/>
      </c>
      <c r="J96" s="10" t="str">
        <f>[1]FINAL!B96</f>
        <v>Zinchenko</v>
      </c>
      <c r="K96" t="str">
        <f>[1]FINAL!A96</f>
        <v>Oleksandr Zinchenko</v>
      </c>
    </row>
    <row r="97" spans="1:11" x14ac:dyDescent="0.3">
      <c r="A97" t="str">
        <f>IF('[2]Transfer History'!A97=0,"",'[2]Transfer History'!A97)</f>
        <v/>
      </c>
      <c r="B97" t="str">
        <f>IF('[2]Transfer History'!B97=0,"",'[2]Transfer History'!B97)</f>
        <v/>
      </c>
      <c r="C97" t="str">
        <f>IF('[2]Transfer History'!C97=0,"",'[2]Transfer History'!C97)</f>
        <v/>
      </c>
      <c r="D97" t="str">
        <f>IF(OR('[2]Transfer History'!D97=0,'[2]Transfer History'!D97="GW"&amp;TEAMS!$J$3),"",'[2]Transfer History'!D97)</f>
        <v/>
      </c>
      <c r="E97" t="str">
        <f t="shared" si="4"/>
        <v/>
      </c>
      <c r="F97" t="str">
        <f t="shared" si="5"/>
        <v/>
      </c>
      <c r="G97" t="str">
        <f t="shared" si="6"/>
        <v/>
      </c>
      <c r="H97" t="str">
        <f t="shared" si="7"/>
        <v/>
      </c>
      <c r="J97" s="10" t="str">
        <f>[1]FINAL!B97</f>
        <v>Murphy</v>
      </c>
      <c r="K97" t="str">
        <f>[1]FINAL!A97</f>
        <v>Jacob Murphy</v>
      </c>
    </row>
    <row r="98" spans="1:11" x14ac:dyDescent="0.3">
      <c r="A98" t="str">
        <f>IF('[2]Transfer History'!A98=0,"",'[2]Transfer History'!A98)</f>
        <v/>
      </c>
      <c r="B98" t="str">
        <f>IF('[2]Transfer History'!B98=0,"",'[2]Transfer History'!B98)</f>
        <v/>
      </c>
      <c r="C98" t="str">
        <f>IF('[2]Transfer History'!C98=0,"",'[2]Transfer History'!C98)</f>
        <v/>
      </c>
      <c r="D98" t="str">
        <f>IF(OR('[2]Transfer History'!D98=0,'[2]Transfer History'!D98="GW"&amp;TEAMS!$J$3),"",'[2]Transfer History'!D98)</f>
        <v/>
      </c>
      <c r="E98" t="str">
        <f t="shared" si="4"/>
        <v/>
      </c>
      <c r="F98" t="str">
        <f t="shared" si="5"/>
        <v/>
      </c>
      <c r="G98" t="str">
        <f t="shared" si="6"/>
        <v/>
      </c>
      <c r="H98" t="str">
        <f t="shared" si="7"/>
        <v/>
      </c>
      <c r="J98" s="10" t="str">
        <f>[1]FINAL!B98</f>
        <v>Tsimikas</v>
      </c>
      <c r="K98" t="str">
        <f>[1]FINAL!A98</f>
        <v>Konstantinos Tsimikas</v>
      </c>
    </row>
    <row r="99" spans="1:11" x14ac:dyDescent="0.3">
      <c r="A99" t="str">
        <f>IF('[2]Transfer History'!A99=0,"",'[2]Transfer History'!A99)</f>
        <v/>
      </c>
      <c r="B99" t="str">
        <f>IF('[2]Transfer History'!B99=0,"",'[2]Transfer History'!B99)</f>
        <v/>
      </c>
      <c r="C99" t="str">
        <f>IF('[2]Transfer History'!C99=0,"",'[2]Transfer History'!C99)</f>
        <v/>
      </c>
      <c r="D99" t="str">
        <f>IF(OR('[2]Transfer History'!D99=0,'[2]Transfer History'!D99="GW"&amp;TEAMS!$J$3),"",'[2]Transfer History'!D99)</f>
        <v/>
      </c>
      <c r="E99" t="str">
        <f t="shared" si="4"/>
        <v/>
      </c>
      <c r="F99" t="str">
        <f t="shared" si="5"/>
        <v/>
      </c>
      <c r="G99" t="str">
        <f t="shared" si="6"/>
        <v/>
      </c>
      <c r="H99" t="str">
        <f t="shared" si="7"/>
        <v/>
      </c>
      <c r="J99" s="10" t="str">
        <f>[1]FINAL!B99</f>
        <v>Targett</v>
      </c>
      <c r="K99" t="str">
        <f>[1]FINAL!A99</f>
        <v>Matt Targett</v>
      </c>
    </row>
    <row r="100" spans="1:11" x14ac:dyDescent="0.3">
      <c r="A100" t="str">
        <f>IF('[2]Transfer History'!A100=0,"",'[2]Transfer History'!A100)</f>
        <v/>
      </c>
      <c r="B100" t="str">
        <f>IF('[2]Transfer History'!B100=0,"",'[2]Transfer History'!B100)</f>
        <v/>
      </c>
      <c r="C100" t="str">
        <f>IF('[2]Transfer History'!C100=0,"",'[2]Transfer History'!C100)</f>
        <v/>
      </c>
      <c r="D100" t="str">
        <f>IF(OR('[2]Transfer History'!D100=0,'[2]Transfer History'!D100="GW"&amp;TEAMS!$J$3),"",'[2]Transfer History'!D100)</f>
        <v/>
      </c>
      <c r="E100" t="str">
        <f t="shared" si="4"/>
        <v/>
      </c>
      <c r="F100" t="str">
        <f t="shared" si="5"/>
        <v/>
      </c>
      <c r="G100" t="str">
        <f t="shared" si="6"/>
        <v/>
      </c>
      <c r="H100" t="str">
        <f t="shared" si="7"/>
        <v/>
      </c>
      <c r="J100" s="10" t="str">
        <f>[1]FINAL!B100</f>
        <v>Laporte</v>
      </c>
      <c r="K100" t="str">
        <f>[1]FINAL!A100</f>
        <v>Aymeric Laporte</v>
      </c>
    </row>
    <row r="101" spans="1:11" x14ac:dyDescent="0.3">
      <c r="A101" t="str">
        <f>IF('[2]Transfer History'!A101=0,"",'[2]Transfer History'!A101)</f>
        <v/>
      </c>
      <c r="B101" t="str">
        <f>IF('[2]Transfer History'!B101=0,"",'[2]Transfer History'!B101)</f>
        <v/>
      </c>
      <c r="C101" t="str">
        <f>IF('[2]Transfer History'!C101=0,"",'[2]Transfer History'!C101)</f>
        <v/>
      </c>
      <c r="D101" t="str">
        <f>IF(OR('[2]Transfer History'!D101=0,'[2]Transfer History'!D101="GW"&amp;TEAMS!$J$3),"",'[2]Transfer History'!D101)</f>
        <v/>
      </c>
      <c r="E101" t="str">
        <f t="shared" si="4"/>
        <v/>
      </c>
      <c r="F101" t="str">
        <f t="shared" si="5"/>
        <v/>
      </c>
      <c r="G101" t="str">
        <f t="shared" si="6"/>
        <v/>
      </c>
      <c r="H101" t="str">
        <f t="shared" si="7"/>
        <v/>
      </c>
      <c r="J101" s="10" t="str">
        <f>[1]FINAL!B101</f>
        <v>Mee</v>
      </c>
      <c r="K101" t="str">
        <f>[1]FINAL!A101</f>
        <v>Ben Mee</v>
      </c>
    </row>
    <row r="102" spans="1:11" x14ac:dyDescent="0.3">
      <c r="A102" t="str">
        <f>IF('[2]Transfer History'!A102=0,"",'[2]Transfer History'!A102)</f>
        <v/>
      </c>
      <c r="B102" t="str">
        <f>IF('[2]Transfer History'!B102=0,"",'[2]Transfer History'!B102)</f>
        <v/>
      </c>
      <c r="C102" t="str">
        <f>IF('[2]Transfer History'!C102=0,"",'[2]Transfer History'!C102)</f>
        <v/>
      </c>
      <c r="D102" t="str">
        <f>IF(OR('[2]Transfer History'!D102=0,'[2]Transfer History'!D102="GW"&amp;TEAMS!$J$3),"",'[2]Transfer History'!D102)</f>
        <v/>
      </c>
      <c r="E102" t="str">
        <f t="shared" si="4"/>
        <v/>
      </c>
      <c r="F102" t="str">
        <f t="shared" si="5"/>
        <v/>
      </c>
      <c r="G102" t="str">
        <f t="shared" si="6"/>
        <v/>
      </c>
      <c r="H102" t="str">
        <f t="shared" si="7"/>
        <v/>
      </c>
      <c r="J102" s="10" t="str">
        <f>[1]FINAL!B102</f>
        <v>Henderson</v>
      </c>
      <c r="K102" t="str">
        <f>[1]FINAL!A102</f>
        <v>Dean Henderson</v>
      </c>
    </row>
    <row r="103" spans="1:11" x14ac:dyDescent="0.3">
      <c r="A103" t="str">
        <f>IF('[2]Transfer History'!A103=0,"",'[2]Transfer History'!A103)</f>
        <v/>
      </c>
      <c r="B103" t="str">
        <f>IF('[2]Transfer History'!B103=0,"",'[2]Transfer History'!B103)</f>
        <v/>
      </c>
      <c r="C103" t="str">
        <f>IF('[2]Transfer History'!C103=0,"",'[2]Transfer History'!C103)</f>
        <v/>
      </c>
      <c r="D103" t="str">
        <f>IF(OR('[2]Transfer History'!D103=0,'[2]Transfer History'!D103="GW"&amp;TEAMS!$J$3),"",'[2]Transfer History'!D103)</f>
        <v/>
      </c>
      <c r="E103" t="str">
        <f t="shared" si="4"/>
        <v/>
      </c>
      <c r="F103" t="str">
        <f t="shared" si="5"/>
        <v/>
      </c>
      <c r="G103" t="str">
        <f t="shared" si="6"/>
        <v/>
      </c>
      <c r="H103" t="str">
        <f t="shared" si="7"/>
        <v/>
      </c>
      <c r="J103" s="10" t="str">
        <f>[1]FINAL!B103</f>
        <v>Wan-Bissaka</v>
      </c>
      <c r="K103" t="str">
        <f>[1]FINAL!A103</f>
        <v>Aaron Wan-Bissaka</v>
      </c>
    </row>
    <row r="104" spans="1:11" x14ac:dyDescent="0.3">
      <c r="A104" t="str">
        <f>IF('[2]Transfer History'!A104=0,"",'[2]Transfer History'!A104)</f>
        <v/>
      </c>
      <c r="B104" t="str">
        <f>IF('[2]Transfer History'!B104=0,"",'[2]Transfer History'!B104)</f>
        <v/>
      </c>
      <c r="C104" t="str">
        <f>IF('[2]Transfer History'!C104=0,"",'[2]Transfer History'!C104)</f>
        <v/>
      </c>
      <c r="D104" t="str">
        <f>IF(OR('[2]Transfer History'!D104=0,'[2]Transfer History'!D104="GW"&amp;TEAMS!$J$3),"",'[2]Transfer History'!D104)</f>
        <v/>
      </c>
      <c r="E104" t="str">
        <f t="shared" si="4"/>
        <v/>
      </c>
      <c r="F104" t="str">
        <f t="shared" si="5"/>
        <v/>
      </c>
      <c r="G104" t="str">
        <f t="shared" si="6"/>
        <v/>
      </c>
      <c r="H104" t="str">
        <f t="shared" si="7"/>
        <v/>
      </c>
      <c r="J104" s="10" t="str">
        <f>[1]FINAL!B104</f>
        <v>Antony</v>
      </c>
      <c r="K104" t="str">
        <f>[1]FINAL!A104</f>
        <v>Antony Matheus dos Santos</v>
      </c>
    </row>
    <row r="105" spans="1:11" x14ac:dyDescent="0.3">
      <c r="A105" t="str">
        <f>IF('[2]Transfer History'!A105=0,"",'[2]Transfer History'!A105)</f>
        <v/>
      </c>
      <c r="B105" t="str">
        <f>IF('[2]Transfer History'!B105=0,"",'[2]Transfer History'!B105)</f>
        <v/>
      </c>
      <c r="C105" t="str">
        <f>IF('[2]Transfer History'!C105=0,"",'[2]Transfer History'!C105)</f>
        <v/>
      </c>
      <c r="D105" t="str">
        <f>IF(OR('[2]Transfer History'!D105=0,'[2]Transfer History'!D105="GW"&amp;TEAMS!$J$3),"",'[2]Transfer History'!D105)</f>
        <v/>
      </c>
      <c r="E105" t="str">
        <f t="shared" si="4"/>
        <v/>
      </c>
      <c r="F105" t="str">
        <f t="shared" si="5"/>
        <v/>
      </c>
      <c r="G105" t="str">
        <f t="shared" si="6"/>
        <v/>
      </c>
      <c r="H105" t="str">
        <f t="shared" si="7"/>
        <v/>
      </c>
      <c r="J105" s="10" t="str">
        <f>[1]FINAL!B105</f>
        <v>James</v>
      </c>
      <c r="K105" t="str">
        <f>[1]FINAL!A105</f>
        <v>Reece James</v>
      </c>
    </row>
    <row r="106" spans="1:11" x14ac:dyDescent="0.3">
      <c r="A106" t="str">
        <f>IF('[2]Transfer History'!A106=0,"",'[2]Transfer History'!A106)</f>
        <v/>
      </c>
      <c r="B106" t="str">
        <f>IF('[2]Transfer History'!B106=0,"",'[2]Transfer History'!B106)</f>
        <v/>
      </c>
      <c r="C106" t="str">
        <f>IF('[2]Transfer History'!C106=0,"",'[2]Transfer History'!C106)</f>
        <v/>
      </c>
      <c r="D106" t="str">
        <f>IF(OR('[2]Transfer History'!D106=0,'[2]Transfer History'!D106="GW"&amp;TEAMS!$J$3),"",'[2]Transfer History'!D106)</f>
        <v/>
      </c>
      <c r="E106" t="str">
        <f t="shared" si="4"/>
        <v/>
      </c>
      <c r="F106" t="str">
        <f t="shared" si="5"/>
        <v/>
      </c>
      <c r="G106" t="str">
        <f t="shared" si="6"/>
        <v/>
      </c>
      <c r="H106" t="str">
        <f t="shared" si="7"/>
        <v/>
      </c>
      <c r="J106" s="10" t="str">
        <f>[1]FINAL!B106</f>
        <v>Zouma</v>
      </c>
      <c r="K106" t="str">
        <f>[1]FINAL!A106</f>
        <v>Kurt Zouma</v>
      </c>
    </row>
    <row r="107" spans="1:11" x14ac:dyDescent="0.3">
      <c r="A107" t="str">
        <f>IF('[2]Transfer History'!A107=0,"",'[2]Transfer History'!A107)</f>
        <v/>
      </c>
      <c r="B107" t="str">
        <f>IF('[2]Transfer History'!B107=0,"",'[2]Transfer History'!B107)</f>
        <v/>
      </c>
      <c r="C107" t="str">
        <f>IF('[2]Transfer History'!C107=0,"",'[2]Transfer History'!C107)</f>
        <v/>
      </c>
      <c r="D107" t="str">
        <f>IF(OR('[2]Transfer History'!D107=0,'[2]Transfer History'!D107="GW"&amp;TEAMS!$J$3),"",'[2]Transfer History'!D107)</f>
        <v/>
      </c>
      <c r="E107" t="str">
        <f t="shared" si="4"/>
        <v/>
      </c>
      <c r="F107" t="str">
        <f t="shared" si="5"/>
        <v/>
      </c>
      <c r="G107" t="str">
        <f t="shared" si="6"/>
        <v/>
      </c>
      <c r="H107" t="str">
        <f t="shared" si="7"/>
        <v/>
      </c>
      <c r="J107" s="10" t="str">
        <f>[1]FINAL!B107</f>
        <v>Pinnock</v>
      </c>
      <c r="K107" t="str">
        <f>[1]FINAL!A107</f>
        <v>Ethan Pinnock</v>
      </c>
    </row>
    <row r="108" spans="1:11" x14ac:dyDescent="0.3">
      <c r="A108" t="str">
        <f>IF('[2]Transfer History'!A108=0,"",'[2]Transfer History'!A108)</f>
        <v/>
      </c>
      <c r="B108" t="str">
        <f>IF('[2]Transfer History'!B108=0,"",'[2]Transfer History'!B108)</f>
        <v/>
      </c>
      <c r="C108" t="str">
        <f>IF('[2]Transfer History'!C108=0,"",'[2]Transfer History'!C108)</f>
        <v/>
      </c>
      <c r="D108" t="str">
        <f>IF(OR('[2]Transfer History'!D108=0,'[2]Transfer History'!D108="GW"&amp;TEAMS!$J$3),"",'[2]Transfer History'!D108)</f>
        <v/>
      </c>
      <c r="E108" t="str">
        <f t="shared" si="4"/>
        <v/>
      </c>
      <c r="F108" t="str">
        <f t="shared" si="5"/>
        <v/>
      </c>
      <c r="G108" t="str">
        <f t="shared" si="6"/>
        <v/>
      </c>
      <c r="H108" t="str">
        <f t="shared" si="7"/>
        <v/>
      </c>
      <c r="J108" s="10" t="str">
        <f>[1]FINAL!B108</f>
        <v>Botman</v>
      </c>
      <c r="K108" t="str">
        <f>[1]FINAL!A108</f>
        <v>Sven Botman</v>
      </c>
    </row>
    <row r="109" spans="1:11" x14ac:dyDescent="0.3">
      <c r="A109" t="str">
        <f>IF('[2]Transfer History'!A109=0,"",'[2]Transfer History'!A109)</f>
        <v/>
      </c>
      <c r="B109" t="str">
        <f>IF('[2]Transfer History'!B109=0,"",'[2]Transfer History'!B109)</f>
        <v/>
      </c>
      <c r="C109" t="str">
        <f>IF('[2]Transfer History'!C109=0,"",'[2]Transfer History'!C109)</f>
        <v/>
      </c>
      <c r="D109" t="str">
        <f>IF(OR('[2]Transfer History'!D109=0,'[2]Transfer History'!D109="GW"&amp;TEAMS!$J$3),"",'[2]Transfer History'!D109)</f>
        <v/>
      </c>
      <c r="E109" t="str">
        <f t="shared" si="4"/>
        <v/>
      </c>
      <c r="F109" t="str">
        <f t="shared" si="5"/>
        <v/>
      </c>
      <c r="G109" t="str">
        <f t="shared" si="6"/>
        <v/>
      </c>
      <c r="H109" t="str">
        <f t="shared" si="7"/>
        <v/>
      </c>
      <c r="J109" s="10" t="str">
        <f>[1]FINAL!B109</f>
        <v>Andreas</v>
      </c>
      <c r="K109" t="str">
        <f>[1]FINAL!A109</f>
        <v>Andreas Hoelgebaum Pereira</v>
      </c>
    </row>
    <row r="110" spans="1:11" x14ac:dyDescent="0.3">
      <c r="A110" t="str">
        <f>IF('[2]Transfer History'!A110=0,"",'[2]Transfer History'!A110)</f>
        <v/>
      </c>
      <c r="B110" t="str">
        <f>IF('[2]Transfer History'!B110=0,"",'[2]Transfer History'!B110)</f>
        <v/>
      </c>
      <c r="C110" t="str">
        <f>IF('[2]Transfer History'!C110=0,"",'[2]Transfer History'!C110)</f>
        <v/>
      </c>
      <c r="D110" t="str">
        <f>IF(OR('[2]Transfer History'!D110=0,'[2]Transfer History'!D110="GW"&amp;TEAMS!$J$3),"",'[2]Transfer History'!D110)</f>
        <v/>
      </c>
      <c r="E110" t="str">
        <f t="shared" si="4"/>
        <v/>
      </c>
      <c r="F110" t="str">
        <f t="shared" si="5"/>
        <v/>
      </c>
      <c r="G110" t="str">
        <f t="shared" si="6"/>
        <v/>
      </c>
      <c r="H110" t="str">
        <f t="shared" si="7"/>
        <v/>
      </c>
      <c r="J110" s="10" t="str">
        <f>[1]FINAL!B110</f>
        <v>Ings</v>
      </c>
      <c r="K110" t="str">
        <f>[1]FINAL!A110</f>
        <v>Danny Ings</v>
      </c>
    </row>
    <row r="111" spans="1:11" x14ac:dyDescent="0.3">
      <c r="A111" t="str">
        <f>IF('[2]Transfer History'!A111=0,"",'[2]Transfer History'!A111)</f>
        <v/>
      </c>
      <c r="B111" t="str">
        <f>IF('[2]Transfer History'!B111=0,"",'[2]Transfer History'!B111)</f>
        <v/>
      </c>
      <c r="C111" t="str">
        <f>IF('[2]Transfer History'!C111=0,"",'[2]Transfer History'!C111)</f>
        <v/>
      </c>
      <c r="D111" t="str">
        <f>IF(OR('[2]Transfer History'!D111=0,'[2]Transfer History'!D111="GW"&amp;TEAMS!$J$3),"",'[2]Transfer History'!D111)</f>
        <v/>
      </c>
      <c r="E111" t="str">
        <f t="shared" si="4"/>
        <v/>
      </c>
      <c r="F111" t="str">
        <f t="shared" si="5"/>
        <v/>
      </c>
      <c r="G111" t="str">
        <f t="shared" si="6"/>
        <v/>
      </c>
      <c r="H111" t="str">
        <f t="shared" si="7"/>
        <v/>
      </c>
      <c r="J111" s="10" t="str">
        <f>[1]FINAL!B111</f>
        <v>A.Doucoure</v>
      </c>
      <c r="K111" t="str">
        <f>[1]FINAL!A111</f>
        <v>Abdoulaye Doucouré</v>
      </c>
    </row>
    <row r="112" spans="1:11" x14ac:dyDescent="0.3">
      <c r="A112" t="str">
        <f>IF('[2]Transfer History'!A112=0,"",'[2]Transfer History'!A112)</f>
        <v/>
      </c>
      <c r="B112" t="str">
        <f>IF('[2]Transfer History'!B112=0,"",'[2]Transfer History'!B112)</f>
        <v/>
      </c>
      <c r="C112" t="str">
        <f>IF('[2]Transfer History'!C112=0,"",'[2]Transfer History'!C112)</f>
        <v/>
      </c>
      <c r="D112" t="str">
        <f>IF(OR('[2]Transfer History'!D112=0,'[2]Transfer History'!D112="GW"&amp;TEAMS!$J$3),"",'[2]Transfer History'!D112)</f>
        <v/>
      </c>
      <c r="E112" t="str">
        <f t="shared" si="4"/>
        <v/>
      </c>
      <c r="F112" t="str">
        <f t="shared" si="5"/>
        <v/>
      </c>
      <c r="G112" t="str">
        <f t="shared" si="6"/>
        <v/>
      </c>
      <c r="H112" t="str">
        <f t="shared" si="7"/>
        <v/>
      </c>
      <c r="J112" s="10" t="str">
        <f>[1]FINAL!B112</f>
        <v>Joelinton</v>
      </c>
      <c r="K112" t="str">
        <f>[1]FINAL!A112</f>
        <v>Joelinton Cássio Apolinário de Lira</v>
      </c>
    </row>
    <row r="113" spans="1:11" x14ac:dyDescent="0.3">
      <c r="A113" t="str">
        <f>IF('[2]Transfer History'!A113=0,"",'[2]Transfer History'!A113)</f>
        <v/>
      </c>
      <c r="B113" t="str">
        <f>IF('[2]Transfer History'!B113=0,"",'[2]Transfer History'!B113)</f>
        <v/>
      </c>
      <c r="C113" t="str">
        <f>IF('[2]Transfer History'!C113=0,"",'[2]Transfer History'!C113)</f>
        <v/>
      </c>
      <c r="D113" t="str">
        <f>IF(OR('[2]Transfer History'!D113=0,'[2]Transfer History'!D113="GW"&amp;TEAMS!$J$3),"",'[2]Transfer History'!D113)</f>
        <v/>
      </c>
      <c r="E113" t="str">
        <f t="shared" si="4"/>
        <v/>
      </c>
      <c r="F113" t="str">
        <f t="shared" si="5"/>
        <v/>
      </c>
      <c r="G113" t="str">
        <f t="shared" si="6"/>
        <v/>
      </c>
      <c r="H113" t="str">
        <f t="shared" si="7"/>
        <v/>
      </c>
      <c r="J113" s="10" t="str">
        <f>[1]FINAL!B113</f>
        <v>Steele</v>
      </c>
      <c r="K113" t="str">
        <f>[1]FINAL!A113</f>
        <v>Jason Steele</v>
      </c>
    </row>
    <row r="114" spans="1:11" x14ac:dyDescent="0.3">
      <c r="A114" t="str">
        <f>IF('[2]Transfer History'!A114=0,"",'[2]Transfer History'!A114)</f>
        <v/>
      </c>
      <c r="B114" t="str">
        <f>IF('[2]Transfer History'!B114=0,"",'[2]Transfer History'!B114)</f>
        <v/>
      </c>
      <c r="C114" t="str">
        <f>IF('[2]Transfer History'!C114=0,"",'[2]Transfer History'!C114)</f>
        <v/>
      </c>
      <c r="D114" t="str">
        <f>IF(OR('[2]Transfer History'!D114=0,'[2]Transfer History'!D114="GW"&amp;TEAMS!$J$3),"",'[2]Transfer History'!D114)</f>
        <v/>
      </c>
      <c r="E114" t="str">
        <f t="shared" si="4"/>
        <v/>
      </c>
      <c r="F114" t="str">
        <f t="shared" si="5"/>
        <v/>
      </c>
      <c r="G114" t="str">
        <f t="shared" si="6"/>
        <v/>
      </c>
      <c r="H114" t="str">
        <f t="shared" si="7"/>
        <v/>
      </c>
      <c r="J114" s="10" t="str">
        <f>[1]FINAL!B114</f>
        <v>Raya</v>
      </c>
      <c r="K114" t="str">
        <f>[1]FINAL!A114</f>
        <v>David Raya Martin</v>
      </c>
    </row>
    <row r="115" spans="1:11" x14ac:dyDescent="0.3">
      <c r="A115" t="str">
        <f>IF('[2]Transfer History'!A115=0,"",'[2]Transfer History'!A115)</f>
        <v/>
      </c>
      <c r="B115" t="str">
        <f>IF('[2]Transfer History'!B115=0,"",'[2]Transfer History'!B115)</f>
        <v/>
      </c>
      <c r="C115" t="str">
        <f>IF('[2]Transfer History'!C115=0,"",'[2]Transfer History'!C115)</f>
        <v/>
      </c>
      <c r="D115" t="str">
        <f>IF(OR('[2]Transfer History'!D115=0,'[2]Transfer History'!D115="GW"&amp;TEAMS!$J$3),"",'[2]Transfer History'!D115)</f>
        <v/>
      </c>
      <c r="E115" t="str">
        <f t="shared" si="4"/>
        <v/>
      </c>
      <c r="F115" t="str">
        <f t="shared" si="5"/>
        <v/>
      </c>
      <c r="G115" t="str">
        <f t="shared" si="6"/>
        <v/>
      </c>
      <c r="H115" t="str">
        <f t="shared" si="7"/>
        <v/>
      </c>
      <c r="J115" s="10" t="str">
        <f>[1]FINAL!B115</f>
        <v>Bailey</v>
      </c>
      <c r="K115" t="str">
        <f>[1]FINAL!A115</f>
        <v>Leon Bailey</v>
      </c>
    </row>
    <row r="116" spans="1:11" x14ac:dyDescent="0.3">
      <c r="A116" t="str">
        <f>IF('[2]Transfer History'!A116=0,"",'[2]Transfer History'!A116)</f>
        <v/>
      </c>
      <c r="B116" t="str">
        <f>IF('[2]Transfer History'!B116=0,"",'[2]Transfer History'!B116)</f>
        <v/>
      </c>
      <c r="C116" t="str">
        <f>IF('[2]Transfer History'!C116=0,"",'[2]Transfer History'!C116)</f>
        <v/>
      </c>
      <c r="D116" t="str">
        <f>IF(OR('[2]Transfer History'!D116=0,'[2]Transfer History'!D116="GW"&amp;TEAMS!$J$3),"",'[2]Transfer History'!D116)</f>
        <v/>
      </c>
      <c r="E116" t="str">
        <f t="shared" si="4"/>
        <v/>
      </c>
      <c r="F116" t="str">
        <f t="shared" si="5"/>
        <v/>
      </c>
      <c r="G116" t="str">
        <f t="shared" si="6"/>
        <v/>
      </c>
      <c r="H116" t="str">
        <f t="shared" si="7"/>
        <v/>
      </c>
      <c r="J116" s="10" t="str">
        <f>[1]FINAL!B116</f>
        <v>C.Richards</v>
      </c>
      <c r="K116" t="str">
        <f>[1]FINAL!A116</f>
        <v>Chris Richards</v>
      </c>
    </row>
    <row r="117" spans="1:11" x14ac:dyDescent="0.3">
      <c r="A117" t="str">
        <f>IF('[2]Transfer History'!A117=0,"",'[2]Transfer History'!A117)</f>
        <v/>
      </c>
      <c r="B117" t="str">
        <f>IF('[2]Transfer History'!B117=0,"",'[2]Transfer History'!B117)</f>
        <v/>
      </c>
      <c r="C117" t="str">
        <f>IF('[2]Transfer History'!C117=0,"",'[2]Transfer History'!C117)</f>
        <v/>
      </c>
      <c r="D117" t="str">
        <f>IF(OR('[2]Transfer History'!D117=0,'[2]Transfer History'!D117="GW"&amp;TEAMS!$J$3),"",'[2]Transfer History'!D117)</f>
        <v/>
      </c>
      <c r="E117" t="str">
        <f t="shared" si="4"/>
        <v/>
      </c>
      <c r="F117" t="str">
        <f t="shared" si="5"/>
        <v/>
      </c>
      <c r="G117" t="str">
        <f t="shared" si="6"/>
        <v/>
      </c>
      <c r="H117" t="str">
        <f t="shared" si="7"/>
        <v/>
      </c>
      <c r="J117" s="10" t="str">
        <f>[1]FINAL!B117</f>
        <v>Wood</v>
      </c>
      <c r="K117" t="str">
        <f>[1]FINAL!A117</f>
        <v>Chris Wood</v>
      </c>
    </row>
    <row r="118" spans="1:11" x14ac:dyDescent="0.3">
      <c r="A118" t="str">
        <f>IF('[2]Transfer History'!A118=0,"",'[2]Transfer History'!A118)</f>
        <v/>
      </c>
      <c r="B118" t="str">
        <f>IF('[2]Transfer History'!B118=0,"",'[2]Transfer History'!B118)</f>
        <v/>
      </c>
      <c r="C118" t="str">
        <f>IF('[2]Transfer History'!C118=0,"",'[2]Transfer History'!C118)</f>
        <v/>
      </c>
      <c r="D118" t="str">
        <f>IF(OR('[2]Transfer History'!D118=0,'[2]Transfer History'!D118="GW"&amp;TEAMS!$J$3),"",'[2]Transfer History'!D118)</f>
        <v/>
      </c>
      <c r="E118" t="str">
        <f t="shared" si="4"/>
        <v/>
      </c>
      <c r="F118" t="str">
        <f t="shared" si="5"/>
        <v/>
      </c>
      <c r="G118" t="str">
        <f t="shared" si="6"/>
        <v/>
      </c>
      <c r="H118" t="str">
        <f t="shared" si="7"/>
        <v/>
      </c>
      <c r="J118" s="10" t="str">
        <f>[1]FINAL!B118</f>
        <v>Rúben</v>
      </c>
      <c r="K118" t="str">
        <f>[1]FINAL!A118</f>
        <v>Rúben Gato Alves Dias</v>
      </c>
    </row>
    <row r="119" spans="1:11" x14ac:dyDescent="0.3">
      <c r="A119" t="str">
        <f>IF('[2]Transfer History'!A119=0,"",'[2]Transfer History'!A119)</f>
        <v/>
      </c>
      <c r="B119" t="str">
        <f>IF('[2]Transfer History'!B119=0,"",'[2]Transfer History'!B119)</f>
        <v/>
      </c>
      <c r="C119" t="str">
        <f>IF('[2]Transfer History'!C119=0,"",'[2]Transfer History'!C119)</f>
        <v/>
      </c>
      <c r="D119" t="str">
        <f>IF(OR('[2]Transfer History'!D119=0,'[2]Transfer History'!D119="GW"&amp;TEAMS!$J$3),"",'[2]Transfer History'!D119)</f>
        <v/>
      </c>
      <c r="E119" t="str">
        <f t="shared" si="4"/>
        <v/>
      </c>
      <c r="F119" t="str">
        <f t="shared" si="5"/>
        <v/>
      </c>
      <c r="G119" t="str">
        <f t="shared" si="6"/>
        <v/>
      </c>
      <c r="H119" t="str">
        <f t="shared" si="7"/>
        <v/>
      </c>
      <c r="J119" s="10" t="str">
        <f>[1]FINAL!B119</f>
        <v>Sessegnon</v>
      </c>
      <c r="K119" t="str">
        <f>[1]FINAL!A119</f>
        <v>Ryan Sessegnon</v>
      </c>
    </row>
    <row r="120" spans="1:11" x14ac:dyDescent="0.3">
      <c r="A120" t="str">
        <f>IF('[2]Transfer History'!A120=0,"",'[2]Transfer History'!A120)</f>
        <v/>
      </c>
      <c r="B120" t="str">
        <f>IF('[2]Transfer History'!B120=0,"",'[2]Transfer History'!B120)</f>
        <v/>
      </c>
      <c r="C120" t="str">
        <f>IF('[2]Transfer History'!C120=0,"",'[2]Transfer History'!C120)</f>
        <v/>
      </c>
      <c r="D120" t="str">
        <f>IF(OR('[2]Transfer History'!D120=0,'[2]Transfer History'!D120="GW"&amp;TEAMS!$J$3),"",'[2]Transfer History'!D120)</f>
        <v/>
      </c>
      <c r="E120" t="str">
        <f t="shared" si="4"/>
        <v/>
      </c>
      <c r="F120" t="str">
        <f t="shared" si="5"/>
        <v/>
      </c>
      <c r="G120" t="str">
        <f t="shared" si="6"/>
        <v/>
      </c>
      <c r="H120" t="str">
        <f t="shared" si="7"/>
        <v/>
      </c>
      <c r="J120" s="10" t="str">
        <f>[1]FINAL!B120</f>
        <v>N.Aguerd</v>
      </c>
      <c r="K120" t="str">
        <f>[1]FINAL!A120</f>
        <v>Nayef Aguerd</v>
      </c>
    </row>
    <row r="121" spans="1:11" x14ac:dyDescent="0.3">
      <c r="A121" t="str">
        <f>IF('[2]Transfer History'!A121=0,"",'[2]Transfer History'!A121)</f>
        <v/>
      </c>
      <c r="B121" t="str">
        <f>IF('[2]Transfer History'!B121=0,"",'[2]Transfer History'!B121)</f>
        <v/>
      </c>
      <c r="C121" t="str">
        <f>IF('[2]Transfer History'!C121=0,"",'[2]Transfer History'!C121)</f>
        <v/>
      </c>
      <c r="D121" t="str">
        <f>IF(OR('[2]Transfer History'!D121=0,'[2]Transfer History'!D121="GW"&amp;TEAMS!$J$3),"",'[2]Transfer History'!D121)</f>
        <v/>
      </c>
      <c r="E121" t="str">
        <f t="shared" si="4"/>
        <v/>
      </c>
      <c r="F121" t="str">
        <f t="shared" si="5"/>
        <v/>
      </c>
      <c r="G121" t="str">
        <f t="shared" si="6"/>
        <v/>
      </c>
      <c r="H121" t="str">
        <f t="shared" si="7"/>
        <v/>
      </c>
      <c r="J121" s="10" t="str">
        <f>[1]FINAL!B121</f>
        <v>Alisson</v>
      </c>
      <c r="K121" t="str">
        <f>[1]FINAL!A121</f>
        <v>Alisson Ramses Becker</v>
      </c>
    </row>
    <row r="122" spans="1:11" x14ac:dyDescent="0.3">
      <c r="A122" t="str">
        <f>IF('[2]Transfer History'!A122=0,"",'[2]Transfer History'!A122)</f>
        <v/>
      </c>
      <c r="B122" t="str">
        <f>IF('[2]Transfer History'!B122=0,"",'[2]Transfer History'!B122)</f>
        <v/>
      </c>
      <c r="C122" t="str">
        <f>IF('[2]Transfer History'!C122=0,"",'[2]Transfer History'!C122)</f>
        <v/>
      </c>
      <c r="D122" t="str">
        <f>IF(OR('[2]Transfer History'!D122=0,'[2]Transfer History'!D122="GW"&amp;TEAMS!$J$3),"",'[2]Transfer History'!D122)</f>
        <v/>
      </c>
      <c r="E122" t="str">
        <f t="shared" si="4"/>
        <v/>
      </c>
      <c r="F122" t="str">
        <f t="shared" si="5"/>
        <v/>
      </c>
      <c r="G122" t="str">
        <f t="shared" si="6"/>
        <v/>
      </c>
      <c r="H122" t="str">
        <f t="shared" si="7"/>
        <v/>
      </c>
      <c r="J122" s="10" t="str">
        <f>[1]FINAL!B122</f>
        <v>Douglas Luiz</v>
      </c>
      <c r="K122" t="str">
        <f>[1]FINAL!A122</f>
        <v>Douglas Luiz Soares de Paulo</v>
      </c>
    </row>
    <row r="123" spans="1:11" x14ac:dyDescent="0.3">
      <c r="A123" t="str">
        <f>IF('[2]Transfer History'!A123=0,"",'[2]Transfer History'!A123)</f>
        <v/>
      </c>
      <c r="B123" t="str">
        <f>IF('[2]Transfer History'!B123=0,"",'[2]Transfer History'!B123)</f>
        <v/>
      </c>
      <c r="C123" t="str">
        <f>IF('[2]Transfer History'!C123=0,"",'[2]Transfer History'!C123)</f>
        <v/>
      </c>
      <c r="D123" t="str">
        <f>IF(OR('[2]Transfer History'!D123=0,'[2]Transfer History'!D123="GW"&amp;TEAMS!$J$3),"",'[2]Transfer History'!D123)</f>
        <v/>
      </c>
      <c r="E123" t="str">
        <f t="shared" si="4"/>
        <v/>
      </c>
      <c r="F123" t="str">
        <f t="shared" si="5"/>
        <v/>
      </c>
      <c r="G123" t="str">
        <f t="shared" si="6"/>
        <v/>
      </c>
      <c r="H123" t="str">
        <f t="shared" si="7"/>
        <v/>
      </c>
      <c r="J123" s="10" t="str">
        <f>[1]FINAL!B123</f>
        <v>Pope</v>
      </c>
      <c r="K123" t="str">
        <f>[1]FINAL!A123</f>
        <v>Nick Pope</v>
      </c>
    </row>
    <row r="124" spans="1:11" x14ac:dyDescent="0.3">
      <c r="A124" t="str">
        <f>IF('[2]Transfer History'!A124=0,"",'[2]Transfer History'!A124)</f>
        <v/>
      </c>
      <c r="B124" t="str">
        <f>IF('[2]Transfer History'!B124=0,"",'[2]Transfer History'!B124)</f>
        <v/>
      </c>
      <c r="C124" t="str">
        <f>IF('[2]Transfer History'!C124=0,"",'[2]Transfer History'!C124)</f>
        <v/>
      </c>
      <c r="D124" t="str">
        <f>IF(OR('[2]Transfer History'!D124=0,'[2]Transfer History'!D124="GW"&amp;TEAMS!$J$3),"",'[2]Transfer History'!D124)</f>
        <v/>
      </c>
      <c r="E124" t="str">
        <f t="shared" si="4"/>
        <v/>
      </c>
      <c r="F124" t="str">
        <f t="shared" si="5"/>
        <v/>
      </c>
      <c r="G124" t="str">
        <f t="shared" si="6"/>
        <v/>
      </c>
      <c r="H124" t="str">
        <f t="shared" si="7"/>
        <v/>
      </c>
      <c r="J124" s="10" t="str">
        <f>[1]FINAL!B124</f>
        <v>Podence</v>
      </c>
      <c r="K124" t="str">
        <f>[1]FINAL!A124</f>
        <v>Daniel Castelo Podence</v>
      </c>
    </row>
    <row r="125" spans="1:11" x14ac:dyDescent="0.3">
      <c r="A125" t="str">
        <f>IF('[2]Transfer History'!A125=0,"",'[2]Transfer History'!A125)</f>
        <v/>
      </c>
      <c r="B125" t="str">
        <f>IF('[2]Transfer History'!B125=0,"",'[2]Transfer History'!B125)</f>
        <v/>
      </c>
      <c r="C125" t="str">
        <f>IF('[2]Transfer History'!C125=0,"",'[2]Transfer History'!C125)</f>
        <v/>
      </c>
      <c r="D125" t="str">
        <f>IF(OR('[2]Transfer History'!D125=0,'[2]Transfer History'!D125="GW"&amp;TEAMS!$J$3),"",'[2]Transfer History'!D125)</f>
        <v/>
      </c>
      <c r="E125" t="str">
        <f t="shared" si="4"/>
        <v/>
      </c>
      <c r="F125" t="str">
        <f t="shared" si="5"/>
        <v/>
      </c>
      <c r="G125" t="str">
        <f t="shared" si="6"/>
        <v/>
      </c>
      <c r="H125" t="str">
        <f t="shared" si="7"/>
        <v/>
      </c>
      <c r="J125" s="10" t="str">
        <f>[1]FINAL!B125</f>
        <v>Arrizabalaga</v>
      </c>
      <c r="K125" t="str">
        <f>[1]FINAL!A125</f>
        <v>Kepa Arrizabalaga</v>
      </c>
    </row>
    <row r="126" spans="1:11" x14ac:dyDescent="0.3">
      <c r="A126" t="str">
        <f>IF('[2]Transfer History'!A126=0,"",'[2]Transfer History'!A126)</f>
        <v/>
      </c>
      <c r="B126" t="str">
        <f>IF('[2]Transfer History'!B126=0,"",'[2]Transfer History'!B126)</f>
        <v/>
      </c>
      <c r="C126" t="str">
        <f>IF('[2]Transfer History'!C126=0,"",'[2]Transfer History'!C126)</f>
        <v/>
      </c>
      <c r="D126" t="str">
        <f>IF(OR('[2]Transfer History'!D126=0,'[2]Transfer History'!D126="GW"&amp;TEAMS!$J$3),"",'[2]Transfer History'!D126)</f>
        <v/>
      </c>
      <c r="E126" t="str">
        <f t="shared" si="4"/>
        <v/>
      </c>
      <c r="F126" t="str">
        <f t="shared" si="5"/>
        <v/>
      </c>
      <c r="G126" t="str">
        <f t="shared" si="6"/>
        <v/>
      </c>
      <c r="H126" t="str">
        <f t="shared" si="7"/>
        <v/>
      </c>
      <c r="J126" s="10" t="str">
        <f>[1]FINAL!B126</f>
        <v>Mings</v>
      </c>
      <c r="K126" t="str">
        <f>[1]FINAL!A126</f>
        <v>Tyrone Mings</v>
      </c>
    </row>
    <row r="127" spans="1:11" x14ac:dyDescent="0.3">
      <c r="A127" t="str">
        <f>IF('[2]Transfer History'!A127=0,"",'[2]Transfer History'!A127)</f>
        <v/>
      </c>
      <c r="B127" t="str">
        <f>IF('[2]Transfer History'!B127=0,"",'[2]Transfer History'!B127)</f>
        <v/>
      </c>
      <c r="C127" t="str">
        <f>IF('[2]Transfer History'!C127=0,"",'[2]Transfer History'!C127)</f>
        <v/>
      </c>
      <c r="D127" t="str">
        <f>IF(OR('[2]Transfer History'!D127=0,'[2]Transfer History'!D127="GW"&amp;TEAMS!$J$3),"",'[2]Transfer History'!D127)</f>
        <v/>
      </c>
      <c r="E127" t="str">
        <f t="shared" si="4"/>
        <v/>
      </c>
      <c r="F127" t="str">
        <f t="shared" si="5"/>
        <v/>
      </c>
      <c r="G127" t="str">
        <f t="shared" si="6"/>
        <v/>
      </c>
      <c r="H127" t="str">
        <f t="shared" si="7"/>
        <v/>
      </c>
      <c r="J127" s="10" t="str">
        <f>[1]FINAL!B127</f>
        <v>Burn</v>
      </c>
      <c r="K127" t="str">
        <f>[1]FINAL!A127</f>
        <v>Dan Burn</v>
      </c>
    </row>
    <row r="128" spans="1:11" x14ac:dyDescent="0.3">
      <c r="A128" t="str">
        <f>IF('[2]Transfer History'!A128=0,"",'[2]Transfer History'!A128)</f>
        <v/>
      </c>
      <c r="B128" t="str">
        <f>IF('[2]Transfer History'!B128=0,"",'[2]Transfer History'!B128)</f>
        <v/>
      </c>
      <c r="C128" t="str">
        <f>IF('[2]Transfer History'!C128=0,"",'[2]Transfer History'!C128)</f>
        <v/>
      </c>
      <c r="D128" t="str">
        <f>IF(OR('[2]Transfer History'!D128=0,'[2]Transfer History'!D128="GW"&amp;TEAMS!$J$3),"",'[2]Transfer History'!D128)</f>
        <v/>
      </c>
      <c r="E128" t="str">
        <f t="shared" si="4"/>
        <v/>
      </c>
      <c r="F128" t="str">
        <f t="shared" si="5"/>
        <v/>
      </c>
      <c r="G128" t="str">
        <f t="shared" si="6"/>
        <v/>
      </c>
      <c r="H128" t="str">
        <f t="shared" si="7"/>
        <v/>
      </c>
      <c r="J128" s="10" t="str">
        <f>[1]FINAL!B128</f>
        <v>Tierney</v>
      </c>
      <c r="K128" t="str">
        <f>[1]FINAL!A128</f>
        <v>Kieran Tierney</v>
      </c>
    </row>
    <row r="129" spans="1:11" x14ac:dyDescent="0.3">
      <c r="A129" t="str">
        <f>IF('[2]Transfer History'!A129=0,"",'[2]Transfer History'!A129)</f>
        <v/>
      </c>
      <c r="B129" t="str">
        <f>IF('[2]Transfer History'!B129=0,"",'[2]Transfer History'!B129)</f>
        <v/>
      </c>
      <c r="C129" t="str">
        <f>IF('[2]Transfer History'!C129=0,"",'[2]Transfer History'!C129)</f>
        <v/>
      </c>
      <c r="D129" t="str">
        <f>IF(OR('[2]Transfer History'!D129=0,'[2]Transfer History'!D129="GW"&amp;TEAMS!$J$3),"",'[2]Transfer History'!D129)</f>
        <v/>
      </c>
      <c r="E129" t="str">
        <f t="shared" si="4"/>
        <v/>
      </c>
      <c r="F129" t="str">
        <f t="shared" si="5"/>
        <v/>
      </c>
      <c r="G129" t="str">
        <f t="shared" si="6"/>
        <v/>
      </c>
      <c r="H129" t="str">
        <f t="shared" si="7"/>
        <v/>
      </c>
      <c r="J129" s="10" t="str">
        <f>[1]FINAL!B129</f>
        <v>Johnstone</v>
      </c>
      <c r="K129" t="str">
        <f>[1]FINAL!A129</f>
        <v>Sam Johnstone</v>
      </c>
    </row>
    <row r="130" spans="1:11" x14ac:dyDescent="0.3">
      <c r="A130" t="str">
        <f>IF('[2]Transfer History'!A130=0,"",'[2]Transfer History'!A130)</f>
        <v/>
      </c>
      <c r="B130" t="str">
        <f>IF('[2]Transfer History'!B130=0,"",'[2]Transfer History'!B130)</f>
        <v/>
      </c>
      <c r="C130" t="str">
        <f>IF('[2]Transfer History'!C130=0,"",'[2]Transfer History'!C130)</f>
        <v/>
      </c>
      <c r="D130" t="str">
        <f>IF(OR('[2]Transfer History'!D130=0,'[2]Transfer History'!D130="GW"&amp;TEAMS!$J$3),"",'[2]Transfer History'!D130)</f>
        <v/>
      </c>
      <c r="E130" t="str">
        <f t="shared" si="4"/>
        <v/>
      </c>
      <c r="F130" t="str">
        <f t="shared" si="5"/>
        <v/>
      </c>
      <c r="G130" t="str">
        <f t="shared" si="6"/>
        <v/>
      </c>
      <c r="H130" t="str">
        <f t="shared" si="7"/>
        <v/>
      </c>
      <c r="J130" s="10" t="str">
        <f>[1]FINAL!B130</f>
        <v>Bernardo</v>
      </c>
      <c r="K130" t="str">
        <f>[1]FINAL!A130</f>
        <v>Bernardo Veiga de Carvalho e Silva</v>
      </c>
    </row>
    <row r="131" spans="1:11" x14ac:dyDescent="0.3">
      <c r="A131" t="str">
        <f>IF('[2]Transfer History'!A131=0,"",'[2]Transfer History'!A131)</f>
        <v/>
      </c>
      <c r="B131" t="str">
        <f>IF('[2]Transfer History'!B131=0,"",'[2]Transfer History'!B131)</f>
        <v/>
      </c>
      <c r="C131" t="str">
        <f>IF('[2]Transfer History'!C131=0,"",'[2]Transfer History'!C131)</f>
        <v/>
      </c>
      <c r="D131" t="str">
        <f>IF(OR('[2]Transfer History'!D131=0,'[2]Transfer History'!D131="GW"&amp;TEAMS!$J$3),"",'[2]Transfer History'!D131)</f>
        <v/>
      </c>
      <c r="E131" t="str">
        <f t="shared" ref="E131:E194" si="8">IFERROR(VLOOKUP(C131,$J:$K,MATCH("Player Name",$J$1:$K$1,0),0),"")</f>
        <v/>
      </c>
      <c r="F131" t="str">
        <f t="shared" ref="F131:F194" si="9">D131&amp;E131</f>
        <v/>
      </c>
      <c r="G131" t="str">
        <f t="shared" ref="G131:G194" si="10">IFERROR(VLOOKUP(B131,$J:$K,MATCH("Player Name",$J$1:$K$1,0),0),"")</f>
        <v/>
      </c>
      <c r="H131" t="str">
        <f t="shared" ref="H131:H194" si="11">E131</f>
        <v/>
      </c>
      <c r="J131" s="10" t="str">
        <f>[1]FINAL!B131</f>
        <v>Trossard</v>
      </c>
      <c r="K131" t="str">
        <f>[1]FINAL!A131</f>
        <v>Leandro Trossard</v>
      </c>
    </row>
    <row r="132" spans="1:11" x14ac:dyDescent="0.3">
      <c r="A132" t="str">
        <f>IF('[2]Transfer History'!A132=0,"",'[2]Transfer History'!A132)</f>
        <v/>
      </c>
      <c r="B132" t="str">
        <f>IF('[2]Transfer History'!B132=0,"",'[2]Transfer History'!B132)</f>
        <v/>
      </c>
      <c r="C132" t="str">
        <f>IF('[2]Transfer History'!C132=0,"",'[2]Transfer History'!C132)</f>
        <v/>
      </c>
      <c r="D132" t="str">
        <f>IF(OR('[2]Transfer History'!D132=0,'[2]Transfer History'!D132="GW"&amp;TEAMS!$J$3),"",'[2]Transfer History'!D132)</f>
        <v/>
      </c>
      <c r="E132" t="str">
        <f t="shared" si="8"/>
        <v/>
      </c>
      <c r="F132" t="str">
        <f t="shared" si="9"/>
        <v/>
      </c>
      <c r="G132" t="str">
        <f t="shared" si="10"/>
        <v/>
      </c>
      <c r="H132" t="str">
        <f t="shared" si="11"/>
        <v/>
      </c>
      <c r="J132" s="10" t="str">
        <f>[1]FINAL!B132</f>
        <v>Palmer</v>
      </c>
      <c r="K132" t="str">
        <f>[1]FINAL!A132</f>
        <v>Cole Palmer</v>
      </c>
    </row>
    <row r="133" spans="1:11" x14ac:dyDescent="0.3">
      <c r="A133" t="str">
        <f>IF('[2]Transfer History'!A133=0,"",'[2]Transfer History'!A133)</f>
        <v/>
      </c>
      <c r="B133" t="str">
        <f>IF('[2]Transfer History'!B133=0,"",'[2]Transfer History'!B133)</f>
        <v/>
      </c>
      <c r="C133" t="str">
        <f>IF('[2]Transfer History'!C133=0,"",'[2]Transfer History'!C133)</f>
        <v/>
      </c>
      <c r="D133" t="str">
        <f>IF(OR('[2]Transfer History'!D133=0,'[2]Transfer History'!D133="GW"&amp;TEAMS!$J$3),"",'[2]Transfer History'!D133)</f>
        <v/>
      </c>
      <c r="E133" t="str">
        <f t="shared" si="8"/>
        <v/>
      </c>
      <c r="F133" t="str">
        <f t="shared" si="9"/>
        <v/>
      </c>
      <c r="G133" t="str">
        <f t="shared" si="10"/>
        <v/>
      </c>
      <c r="H133" t="str">
        <f t="shared" si="11"/>
        <v/>
      </c>
      <c r="J133" s="10" t="str">
        <f>[1]FINAL!B133</f>
        <v>Gray</v>
      </c>
      <c r="K133" t="str">
        <f>[1]FINAL!A133</f>
        <v>Demarai Gray</v>
      </c>
    </row>
    <row r="134" spans="1:11" x14ac:dyDescent="0.3">
      <c r="A134" t="str">
        <f>IF('[2]Transfer History'!A134=0,"",'[2]Transfer History'!A134)</f>
        <v/>
      </c>
      <c r="B134" t="str">
        <f>IF('[2]Transfer History'!B134=0,"",'[2]Transfer History'!B134)</f>
        <v/>
      </c>
      <c r="C134" t="str">
        <f>IF('[2]Transfer History'!C134=0,"",'[2]Transfer History'!C134)</f>
        <v/>
      </c>
      <c r="D134" t="str">
        <f>IF(OR('[2]Transfer History'!D134=0,'[2]Transfer History'!D134="GW"&amp;TEAMS!$J$3),"",'[2]Transfer History'!D134)</f>
        <v/>
      </c>
      <c r="E134" t="str">
        <f t="shared" si="8"/>
        <v/>
      </c>
      <c r="F134" t="str">
        <f t="shared" si="9"/>
        <v/>
      </c>
      <c r="G134" t="str">
        <f t="shared" si="10"/>
        <v/>
      </c>
      <c r="H134" t="str">
        <f t="shared" si="11"/>
        <v/>
      </c>
      <c r="J134" s="10" t="str">
        <f>[1]FINAL!B134</f>
        <v>Moore</v>
      </c>
      <c r="K134" t="str">
        <f>[1]FINAL!A134</f>
        <v>Kieffer Moore</v>
      </c>
    </row>
    <row r="135" spans="1:11" x14ac:dyDescent="0.3">
      <c r="A135" t="str">
        <f>IF('[2]Transfer History'!A135=0,"",'[2]Transfer History'!A135)</f>
        <v/>
      </c>
      <c r="B135" t="str">
        <f>IF('[2]Transfer History'!B135=0,"",'[2]Transfer History'!B135)</f>
        <v/>
      </c>
      <c r="C135" t="str">
        <f>IF('[2]Transfer History'!C135=0,"",'[2]Transfer History'!C135)</f>
        <v/>
      </c>
      <c r="D135" t="str">
        <f>IF(OR('[2]Transfer History'!D135=0,'[2]Transfer History'!D135="GW"&amp;TEAMS!$J$3),"",'[2]Transfer History'!D135)</f>
        <v/>
      </c>
      <c r="E135" t="str">
        <f t="shared" si="8"/>
        <v/>
      </c>
      <c r="F135" t="str">
        <f t="shared" si="9"/>
        <v/>
      </c>
      <c r="G135" t="str">
        <f t="shared" si="10"/>
        <v/>
      </c>
      <c r="H135" t="str">
        <f t="shared" si="11"/>
        <v/>
      </c>
      <c r="J135" s="10" t="str">
        <f>[1]FINAL!B135</f>
        <v>Davies</v>
      </c>
      <c r="K135" t="str">
        <f>[1]FINAL!A135</f>
        <v>Ben Davies</v>
      </c>
    </row>
    <row r="136" spans="1:11" x14ac:dyDescent="0.3">
      <c r="A136" t="str">
        <f>IF('[2]Transfer History'!A136=0,"",'[2]Transfer History'!A136)</f>
        <v/>
      </c>
      <c r="B136" t="str">
        <f>IF('[2]Transfer History'!B136=0,"",'[2]Transfer History'!B136)</f>
        <v/>
      </c>
      <c r="C136" t="str">
        <f>IF('[2]Transfer History'!C136=0,"",'[2]Transfer History'!C136)</f>
        <v/>
      </c>
      <c r="D136" t="str">
        <f>IF(OR('[2]Transfer History'!D136=0,'[2]Transfer History'!D136="GW"&amp;TEAMS!$J$3),"",'[2]Transfer History'!D136)</f>
        <v/>
      </c>
      <c r="E136" t="str">
        <f t="shared" si="8"/>
        <v/>
      </c>
      <c r="F136" t="str">
        <f t="shared" si="9"/>
        <v/>
      </c>
      <c r="G136" t="str">
        <f t="shared" si="10"/>
        <v/>
      </c>
      <c r="H136" t="str">
        <f t="shared" si="11"/>
        <v/>
      </c>
      <c r="J136" s="10" t="str">
        <f>[1]FINAL!B136</f>
        <v>R.Lewis</v>
      </c>
      <c r="K136" t="str">
        <f>[1]FINAL!A136</f>
        <v>Rico Lewis</v>
      </c>
    </row>
    <row r="137" spans="1:11" x14ac:dyDescent="0.3">
      <c r="A137" t="str">
        <f>IF('[2]Transfer History'!A137=0,"",'[2]Transfer History'!A137)</f>
        <v/>
      </c>
      <c r="B137" t="str">
        <f>IF('[2]Transfer History'!B137=0,"",'[2]Transfer History'!B137)</f>
        <v/>
      </c>
      <c r="C137" t="str">
        <f>IF('[2]Transfer History'!C137=0,"",'[2]Transfer History'!C137)</f>
        <v/>
      </c>
      <c r="D137" t="str">
        <f>IF(OR('[2]Transfer History'!D137=0,'[2]Transfer History'!D137="GW"&amp;TEAMS!$J$3),"",'[2]Transfer History'!D137)</f>
        <v/>
      </c>
      <c r="E137" t="str">
        <f t="shared" si="8"/>
        <v/>
      </c>
      <c r="F137" t="str">
        <f t="shared" si="9"/>
        <v/>
      </c>
      <c r="G137" t="str">
        <f t="shared" si="10"/>
        <v/>
      </c>
      <c r="H137" t="str">
        <f t="shared" si="11"/>
        <v/>
      </c>
      <c r="J137" s="10">
        <f>[1]FINAL!B137</f>
        <v>0</v>
      </c>
      <c r="K137" t="str">
        <f>[1]FINAL!A137</f>
        <v>João Pedro Junqueira de Jesus</v>
      </c>
    </row>
    <row r="138" spans="1:11" x14ac:dyDescent="0.3">
      <c r="A138" t="str">
        <f>IF('[2]Transfer History'!A138=0,"",'[2]Transfer History'!A138)</f>
        <v/>
      </c>
      <c r="B138" t="str">
        <f>IF('[2]Transfer History'!B138=0,"",'[2]Transfer History'!B138)</f>
        <v/>
      </c>
      <c r="C138" t="str">
        <f>IF('[2]Transfer History'!C138=0,"",'[2]Transfer History'!C138)</f>
        <v/>
      </c>
      <c r="D138" t="str">
        <f>IF(OR('[2]Transfer History'!D138=0,'[2]Transfer History'!D138="GW"&amp;TEAMS!$J$3),"",'[2]Transfer History'!D138)</f>
        <v/>
      </c>
      <c r="E138" t="str">
        <f t="shared" si="8"/>
        <v/>
      </c>
      <c r="F138" t="str">
        <f t="shared" si="9"/>
        <v/>
      </c>
      <c r="G138" t="str">
        <f t="shared" si="10"/>
        <v/>
      </c>
      <c r="H138" t="str">
        <f t="shared" si="11"/>
        <v/>
      </c>
      <c r="J138" s="10" t="str">
        <f>[1]FINAL!B138</f>
        <v>Kulusevski</v>
      </c>
      <c r="K138" t="str">
        <f>[1]FINAL!A138</f>
        <v>Dejan Kulusevski</v>
      </c>
    </row>
    <row r="139" spans="1:11" x14ac:dyDescent="0.3">
      <c r="A139" t="str">
        <f>IF('[2]Transfer History'!A139=0,"",'[2]Transfer History'!A139)</f>
        <v/>
      </c>
      <c r="B139" t="str">
        <f>IF('[2]Transfer History'!B139=0,"",'[2]Transfer History'!B139)</f>
        <v/>
      </c>
      <c r="C139" t="str">
        <f>IF('[2]Transfer History'!C139=0,"",'[2]Transfer History'!C139)</f>
        <v/>
      </c>
      <c r="D139" t="str">
        <f>IF(OR('[2]Transfer History'!D139=0,'[2]Transfer History'!D139="GW"&amp;TEAMS!$J$3),"",'[2]Transfer History'!D139)</f>
        <v/>
      </c>
      <c r="E139" t="str">
        <f t="shared" si="8"/>
        <v/>
      </c>
      <c r="F139" t="str">
        <f t="shared" si="9"/>
        <v/>
      </c>
      <c r="G139" t="str">
        <f t="shared" si="10"/>
        <v/>
      </c>
      <c r="H139" t="str">
        <f t="shared" si="11"/>
        <v/>
      </c>
      <c r="J139" s="10" t="str">
        <f>[1]FINAL!B139</f>
        <v>Casemiro</v>
      </c>
      <c r="K139" t="str">
        <f>[1]FINAL!A139</f>
        <v>Carlos Henrique Casimiro</v>
      </c>
    </row>
    <row r="140" spans="1:11" x14ac:dyDescent="0.3">
      <c r="A140" t="str">
        <f>IF('[2]Transfer History'!A140=0,"",'[2]Transfer History'!A140)</f>
        <v/>
      </c>
      <c r="B140" t="str">
        <f>IF('[2]Transfer History'!B140=0,"",'[2]Transfer History'!B140)</f>
        <v/>
      </c>
      <c r="C140" t="str">
        <f>IF('[2]Transfer History'!C140=0,"",'[2]Transfer History'!C140)</f>
        <v/>
      </c>
      <c r="D140" t="str">
        <f>IF(OR('[2]Transfer History'!D140=0,'[2]Transfer History'!D140="GW"&amp;TEAMS!$J$3),"",'[2]Transfer History'!D140)</f>
        <v/>
      </c>
      <c r="E140" t="str">
        <f t="shared" si="8"/>
        <v/>
      </c>
      <c r="F140" t="str">
        <f t="shared" si="9"/>
        <v/>
      </c>
      <c r="G140" t="str">
        <f t="shared" si="10"/>
        <v/>
      </c>
      <c r="H140" t="str">
        <f t="shared" si="11"/>
        <v/>
      </c>
      <c r="J140" s="10" t="str">
        <f>[1]FINAL!B140</f>
        <v>Tarkowski</v>
      </c>
      <c r="K140" t="str">
        <f>[1]FINAL!A140</f>
        <v>James Tarkowski</v>
      </c>
    </row>
    <row r="141" spans="1:11" x14ac:dyDescent="0.3">
      <c r="A141" t="str">
        <f>IF('[2]Transfer History'!A141=0,"",'[2]Transfer History'!A141)</f>
        <v/>
      </c>
      <c r="B141" t="str">
        <f>IF('[2]Transfer History'!B141=0,"",'[2]Transfer History'!B141)</f>
        <v/>
      </c>
      <c r="C141" t="str">
        <f>IF('[2]Transfer History'!C141=0,"",'[2]Transfer History'!C141)</f>
        <v/>
      </c>
      <c r="D141" t="str">
        <f>IF(OR('[2]Transfer History'!D141=0,'[2]Transfer History'!D141="GW"&amp;TEAMS!$J$3),"",'[2]Transfer History'!D141)</f>
        <v/>
      </c>
      <c r="E141" t="str">
        <f t="shared" si="8"/>
        <v/>
      </c>
      <c r="F141" t="str">
        <f t="shared" si="9"/>
        <v/>
      </c>
      <c r="G141" t="str">
        <f t="shared" si="10"/>
        <v/>
      </c>
      <c r="H141" t="str">
        <f t="shared" si="11"/>
        <v/>
      </c>
      <c r="J141" s="10" t="str">
        <f>[1]FINAL!B141</f>
        <v>Veltman</v>
      </c>
      <c r="K141" t="str">
        <f>[1]FINAL!A141</f>
        <v>Joël Veltman</v>
      </c>
    </row>
    <row r="142" spans="1:11" x14ac:dyDescent="0.3">
      <c r="A142" t="str">
        <f>IF('[2]Transfer History'!A142=0,"",'[2]Transfer History'!A142)</f>
        <v/>
      </c>
      <c r="B142" t="str">
        <f>IF('[2]Transfer History'!B142=0,"",'[2]Transfer History'!B142)</f>
        <v/>
      </c>
      <c r="C142" t="str">
        <f>IF('[2]Transfer History'!C142=0,"",'[2]Transfer History'!C142)</f>
        <v/>
      </c>
      <c r="D142" t="str">
        <f>IF(OR('[2]Transfer History'!D142=0,'[2]Transfer History'!D142="GW"&amp;TEAMS!$J$3),"",'[2]Transfer History'!D142)</f>
        <v/>
      </c>
      <c r="E142" t="str">
        <f t="shared" si="8"/>
        <v/>
      </c>
      <c r="F142" t="str">
        <f t="shared" si="9"/>
        <v/>
      </c>
      <c r="G142" t="str">
        <f t="shared" si="10"/>
        <v/>
      </c>
      <c r="H142" t="str">
        <f t="shared" si="11"/>
        <v/>
      </c>
      <c r="J142" s="10" t="str">
        <f>[1]FINAL!B142</f>
        <v>Mount</v>
      </c>
      <c r="K142" t="str">
        <f>[1]FINAL!A142</f>
        <v>Mason Mount</v>
      </c>
    </row>
    <row r="143" spans="1:11" x14ac:dyDescent="0.3">
      <c r="A143" t="str">
        <f>IF('[2]Transfer History'!A143=0,"",'[2]Transfer History'!A143)</f>
        <v/>
      </c>
      <c r="B143" t="str">
        <f>IF('[2]Transfer History'!B143=0,"",'[2]Transfer History'!B143)</f>
        <v/>
      </c>
      <c r="C143" t="str">
        <f>IF('[2]Transfer History'!C143=0,"",'[2]Transfer History'!C143)</f>
        <v/>
      </c>
      <c r="D143" t="str">
        <f>IF(OR('[2]Transfer History'!D143=0,'[2]Transfer History'!D143="GW"&amp;TEAMS!$J$3),"",'[2]Transfer History'!D143)</f>
        <v/>
      </c>
      <c r="E143" t="str">
        <f t="shared" si="8"/>
        <v/>
      </c>
      <c r="F143" t="str">
        <f t="shared" si="9"/>
        <v/>
      </c>
      <c r="G143" t="str">
        <f t="shared" si="10"/>
        <v/>
      </c>
      <c r="H143" t="str">
        <f t="shared" si="11"/>
        <v/>
      </c>
      <c r="J143" s="10" t="str">
        <f>[1]FINAL!B143</f>
        <v>Roerslev</v>
      </c>
      <c r="K143" t="str">
        <f>[1]FINAL!A143</f>
        <v>Mads Roerslev Rasmussen</v>
      </c>
    </row>
    <row r="144" spans="1:11" x14ac:dyDescent="0.3">
      <c r="A144" t="str">
        <f>IF('[2]Transfer History'!A144=0,"",'[2]Transfer History'!A144)</f>
        <v/>
      </c>
      <c r="B144" t="str">
        <f>IF('[2]Transfer History'!B144=0,"",'[2]Transfer History'!B144)</f>
        <v/>
      </c>
      <c r="C144" t="str">
        <f>IF('[2]Transfer History'!C144=0,"",'[2]Transfer History'!C144)</f>
        <v/>
      </c>
      <c r="D144" t="str">
        <f>IF(OR('[2]Transfer History'!D144=0,'[2]Transfer History'!D144="GW"&amp;TEAMS!$J$3),"",'[2]Transfer History'!D144)</f>
        <v/>
      </c>
      <c r="E144" t="str">
        <f t="shared" si="8"/>
        <v/>
      </c>
      <c r="F144" t="str">
        <f t="shared" si="9"/>
        <v/>
      </c>
      <c r="G144" t="str">
        <f t="shared" si="10"/>
        <v/>
      </c>
      <c r="H144" t="str">
        <f t="shared" si="11"/>
        <v/>
      </c>
      <c r="J144" s="10" t="str">
        <f>[1]FINAL!B144</f>
        <v>Ramsdale</v>
      </c>
      <c r="K144" t="str">
        <f>[1]FINAL!A144</f>
        <v>Aaron Ramsdale</v>
      </c>
    </row>
    <row r="145" spans="1:11" x14ac:dyDescent="0.3">
      <c r="A145" t="str">
        <f>IF('[2]Transfer History'!A145=0,"",'[2]Transfer History'!A145)</f>
        <v/>
      </c>
      <c r="B145" t="str">
        <f>IF('[2]Transfer History'!B145=0,"",'[2]Transfer History'!B145)</f>
        <v/>
      </c>
      <c r="C145" t="str">
        <f>IF('[2]Transfer History'!C145=0,"",'[2]Transfer History'!C145)</f>
        <v/>
      </c>
      <c r="D145" t="str">
        <f>IF(OR('[2]Transfer History'!D145=0,'[2]Transfer History'!D145="GW"&amp;TEAMS!$J$3),"",'[2]Transfer History'!D145)</f>
        <v/>
      </c>
      <c r="E145" t="str">
        <f t="shared" si="8"/>
        <v/>
      </c>
      <c r="F145" t="str">
        <f t="shared" si="9"/>
        <v/>
      </c>
      <c r="G145" t="str">
        <f t="shared" si="10"/>
        <v/>
      </c>
      <c r="H145" t="str">
        <f t="shared" si="11"/>
        <v/>
      </c>
      <c r="J145" s="10" t="str">
        <f>[1]FINAL!B145</f>
        <v>Tomiyasu</v>
      </c>
      <c r="K145" t="str">
        <f>[1]FINAL!A145</f>
        <v>Takehiro Tomiyasu</v>
      </c>
    </row>
    <row r="146" spans="1:11" x14ac:dyDescent="0.3">
      <c r="A146" t="str">
        <f>IF('[2]Transfer History'!A146=0,"",'[2]Transfer History'!A146)</f>
        <v/>
      </c>
      <c r="B146" t="str">
        <f>IF('[2]Transfer History'!B146=0,"",'[2]Transfer History'!B146)</f>
        <v/>
      </c>
      <c r="C146" t="str">
        <f>IF('[2]Transfer History'!C146=0,"",'[2]Transfer History'!C146)</f>
        <v/>
      </c>
      <c r="D146" t="str">
        <f>IF(OR('[2]Transfer History'!D146=0,'[2]Transfer History'!D146="GW"&amp;TEAMS!$J$3),"",'[2]Transfer History'!D146)</f>
        <v/>
      </c>
      <c r="E146" t="str">
        <f t="shared" si="8"/>
        <v/>
      </c>
      <c r="F146" t="str">
        <f t="shared" si="9"/>
        <v/>
      </c>
      <c r="G146" t="str">
        <f t="shared" si="10"/>
        <v/>
      </c>
      <c r="H146" t="str">
        <f t="shared" si="11"/>
        <v/>
      </c>
      <c r="J146" s="10" t="str">
        <f>[1]FINAL!B146</f>
        <v>Billing</v>
      </c>
      <c r="K146" t="str">
        <f>[1]FINAL!A146</f>
        <v>Philip Billing</v>
      </c>
    </row>
    <row r="147" spans="1:11" x14ac:dyDescent="0.3">
      <c r="A147" t="str">
        <f>IF('[2]Transfer History'!A147=0,"",'[2]Transfer History'!A147)</f>
        <v/>
      </c>
      <c r="B147" t="str">
        <f>IF('[2]Transfer History'!B147=0,"",'[2]Transfer History'!B147)</f>
        <v/>
      </c>
      <c r="C147" t="str">
        <f>IF('[2]Transfer History'!C147=0,"",'[2]Transfer History'!C147)</f>
        <v/>
      </c>
      <c r="D147" t="str">
        <f>IF(OR('[2]Transfer History'!D147=0,'[2]Transfer History'!D147="GW"&amp;TEAMS!$J$3),"",'[2]Transfer History'!D147)</f>
        <v/>
      </c>
      <c r="E147" t="str">
        <f t="shared" si="8"/>
        <v/>
      </c>
      <c r="F147" t="str">
        <f t="shared" si="9"/>
        <v/>
      </c>
      <c r="G147" t="str">
        <f t="shared" si="10"/>
        <v/>
      </c>
      <c r="H147" t="str">
        <f t="shared" si="11"/>
        <v/>
      </c>
      <c r="J147" s="10" t="str">
        <f>[1]FINAL!B147</f>
        <v>Webster</v>
      </c>
      <c r="K147" t="str">
        <f>[1]FINAL!A147</f>
        <v>Adam Webster</v>
      </c>
    </row>
    <row r="148" spans="1:11" x14ac:dyDescent="0.3">
      <c r="A148" t="str">
        <f>IF('[2]Transfer History'!A148=0,"",'[2]Transfer History'!A148)</f>
        <v/>
      </c>
      <c r="B148" t="str">
        <f>IF('[2]Transfer History'!B148=0,"",'[2]Transfer History'!B148)</f>
        <v/>
      </c>
      <c r="C148" t="str">
        <f>IF('[2]Transfer History'!C148=0,"",'[2]Transfer History'!C148)</f>
        <v/>
      </c>
      <c r="D148" t="str">
        <f>IF(OR('[2]Transfer History'!D148=0,'[2]Transfer History'!D148="GW"&amp;TEAMS!$J$3),"",'[2]Transfer History'!D148)</f>
        <v/>
      </c>
      <c r="E148" t="str">
        <f t="shared" si="8"/>
        <v/>
      </c>
      <c r="F148" t="str">
        <f t="shared" si="9"/>
        <v/>
      </c>
      <c r="G148" t="str">
        <f t="shared" si="10"/>
        <v/>
      </c>
      <c r="H148" t="str">
        <f t="shared" si="11"/>
        <v/>
      </c>
      <c r="J148" s="10" t="str">
        <f>[1]FINAL!B148</f>
        <v>Guaita</v>
      </c>
      <c r="K148" t="str">
        <f>[1]FINAL!A148</f>
        <v>Vicente Guaita</v>
      </c>
    </row>
    <row r="149" spans="1:11" x14ac:dyDescent="0.3">
      <c r="A149" t="str">
        <f>IF('[2]Transfer History'!A149=0,"",'[2]Transfer History'!A149)</f>
        <v/>
      </c>
      <c r="B149" t="str">
        <f>IF('[2]Transfer History'!B149=0,"",'[2]Transfer History'!B149)</f>
        <v/>
      </c>
      <c r="C149" t="str">
        <f>IF('[2]Transfer History'!C149=0,"",'[2]Transfer History'!C149)</f>
        <v/>
      </c>
      <c r="D149" t="str">
        <f>IF(OR('[2]Transfer History'!D149=0,'[2]Transfer History'!D149="GW"&amp;TEAMS!$J$3),"",'[2]Transfer History'!D149)</f>
        <v/>
      </c>
      <c r="E149" t="str">
        <f t="shared" si="8"/>
        <v/>
      </c>
      <c r="F149" t="str">
        <f t="shared" si="9"/>
        <v/>
      </c>
      <c r="G149" t="str">
        <f t="shared" si="10"/>
        <v/>
      </c>
      <c r="H149" t="str">
        <f t="shared" si="11"/>
        <v/>
      </c>
      <c r="J149" s="10" t="str">
        <f>[1]FINAL!B149</f>
        <v>Lloris</v>
      </c>
      <c r="K149" t="str">
        <f>[1]FINAL!A149</f>
        <v>Hugo Lloris</v>
      </c>
    </row>
    <row r="150" spans="1:11" x14ac:dyDescent="0.3">
      <c r="A150" t="str">
        <f>IF('[2]Transfer History'!A150=0,"",'[2]Transfer History'!A150)</f>
        <v/>
      </c>
      <c r="B150" t="str">
        <f>IF('[2]Transfer History'!B150=0,"",'[2]Transfer History'!B150)</f>
        <v/>
      </c>
      <c r="C150" t="str">
        <f>IF('[2]Transfer History'!C150=0,"",'[2]Transfer History'!C150)</f>
        <v/>
      </c>
      <c r="D150" t="str">
        <f>IF(OR('[2]Transfer History'!D150=0,'[2]Transfer History'!D150="GW"&amp;TEAMS!$J$3),"",'[2]Transfer History'!D150)</f>
        <v/>
      </c>
      <c r="E150" t="str">
        <f t="shared" si="8"/>
        <v/>
      </c>
      <c r="F150" t="str">
        <f t="shared" si="9"/>
        <v/>
      </c>
      <c r="G150" t="str">
        <f t="shared" si="10"/>
        <v/>
      </c>
      <c r="H150" t="str">
        <f t="shared" si="11"/>
        <v/>
      </c>
      <c r="J150" s="10" t="str">
        <f>[1]FINAL!B150</f>
        <v>Cresswell</v>
      </c>
      <c r="K150" t="str">
        <f>[1]FINAL!A150</f>
        <v>Aaron Cresswell</v>
      </c>
    </row>
    <row r="151" spans="1:11" x14ac:dyDescent="0.3">
      <c r="A151" t="str">
        <f>IF('[2]Transfer History'!A151=0,"",'[2]Transfer History'!A151)</f>
        <v/>
      </c>
      <c r="B151" t="str">
        <f>IF('[2]Transfer History'!B151=0,"",'[2]Transfer History'!B151)</f>
        <v/>
      </c>
      <c r="C151" t="str">
        <f>IF('[2]Transfer History'!C151=0,"",'[2]Transfer History'!C151)</f>
        <v/>
      </c>
      <c r="D151" t="str">
        <f>IF(OR('[2]Transfer History'!D151=0,'[2]Transfer History'!D151="GW"&amp;TEAMS!$J$3),"",'[2]Transfer History'!D151)</f>
        <v/>
      </c>
      <c r="E151" t="str">
        <f t="shared" si="8"/>
        <v/>
      </c>
      <c r="F151" t="str">
        <f t="shared" si="9"/>
        <v/>
      </c>
      <c r="G151" t="str">
        <f t="shared" si="10"/>
        <v/>
      </c>
      <c r="H151" t="str">
        <f t="shared" si="11"/>
        <v/>
      </c>
      <c r="J151" s="10" t="str">
        <f>[1]FINAL!B151</f>
        <v>Malacia</v>
      </c>
      <c r="K151" t="str">
        <f>[1]FINAL!A151</f>
        <v>Tyrell Malacia</v>
      </c>
    </row>
    <row r="152" spans="1:11" x14ac:dyDescent="0.3">
      <c r="A152" t="str">
        <f>IF('[2]Transfer History'!A152=0,"",'[2]Transfer History'!A152)</f>
        <v/>
      </c>
      <c r="B152" t="str">
        <f>IF('[2]Transfer History'!B152=0,"",'[2]Transfer History'!B152)</f>
        <v/>
      </c>
      <c r="C152" t="str">
        <f>IF('[2]Transfer History'!C152=0,"",'[2]Transfer History'!C152)</f>
        <v/>
      </c>
      <c r="D152" t="str">
        <f>IF(OR('[2]Transfer History'!D152=0,'[2]Transfer History'!D152="GW"&amp;TEAMS!$J$3),"",'[2]Transfer History'!D152)</f>
        <v/>
      </c>
      <c r="E152" t="str">
        <f t="shared" si="8"/>
        <v/>
      </c>
      <c r="F152" t="str">
        <f t="shared" si="9"/>
        <v/>
      </c>
      <c r="G152" t="str">
        <f t="shared" si="10"/>
        <v/>
      </c>
      <c r="H152" t="str">
        <f t="shared" si="11"/>
        <v/>
      </c>
      <c r="J152" s="10" t="str">
        <f>[1]FINAL!B152</f>
        <v>Ziyech</v>
      </c>
      <c r="K152" t="str">
        <f>[1]FINAL!A152</f>
        <v>Hakim Ziyech</v>
      </c>
    </row>
    <row r="153" spans="1:11" x14ac:dyDescent="0.3">
      <c r="A153" t="str">
        <f>IF('[2]Transfer History'!A153=0,"",'[2]Transfer History'!A153)</f>
        <v/>
      </c>
      <c r="B153" t="str">
        <f>IF('[2]Transfer History'!B153=0,"",'[2]Transfer History'!B153)</f>
        <v/>
      </c>
      <c r="C153" t="str">
        <f>IF('[2]Transfer History'!C153=0,"",'[2]Transfer History'!C153)</f>
        <v/>
      </c>
      <c r="D153" t="str">
        <f>IF(OR('[2]Transfer History'!D153=0,'[2]Transfer History'!D153="GW"&amp;TEAMS!$J$3),"",'[2]Transfer History'!D153)</f>
        <v/>
      </c>
      <c r="E153" t="str">
        <f t="shared" si="8"/>
        <v/>
      </c>
      <c r="F153" t="str">
        <f t="shared" si="9"/>
        <v/>
      </c>
      <c r="G153" t="str">
        <f t="shared" si="10"/>
        <v/>
      </c>
      <c r="H153" t="str">
        <f t="shared" si="11"/>
        <v/>
      </c>
      <c r="J153" s="10" t="str">
        <f>[1]FINAL!B153</f>
        <v>Holding</v>
      </c>
      <c r="K153" t="str">
        <f>[1]FINAL!A153</f>
        <v>Rob Holding</v>
      </c>
    </row>
    <row r="154" spans="1:11" x14ac:dyDescent="0.3">
      <c r="A154" t="str">
        <f>IF('[2]Transfer History'!A154=0,"",'[2]Transfer History'!A154)</f>
        <v/>
      </c>
      <c r="B154" t="str">
        <f>IF('[2]Transfer History'!B154=0,"",'[2]Transfer History'!B154)</f>
        <v/>
      </c>
      <c r="C154" t="str">
        <f>IF('[2]Transfer History'!C154=0,"",'[2]Transfer History'!C154)</f>
        <v/>
      </c>
      <c r="D154" t="str">
        <f>IF(OR('[2]Transfer History'!D154=0,'[2]Transfer History'!D154="GW"&amp;TEAMS!$J$3),"",'[2]Transfer History'!D154)</f>
        <v/>
      </c>
      <c r="E154" t="str">
        <f t="shared" si="8"/>
        <v/>
      </c>
      <c r="F154" t="str">
        <f t="shared" si="9"/>
        <v/>
      </c>
      <c r="G154" t="str">
        <f t="shared" si="10"/>
        <v/>
      </c>
      <c r="H154" t="str">
        <f t="shared" si="11"/>
        <v/>
      </c>
      <c r="J154" s="10" t="str">
        <f>[1]FINAL!B154</f>
        <v>José Sá</v>
      </c>
      <c r="K154" t="str">
        <f>[1]FINAL!A154</f>
        <v>José Malheiro de Sá</v>
      </c>
    </row>
    <row r="155" spans="1:11" x14ac:dyDescent="0.3">
      <c r="A155" t="str">
        <f>IF('[2]Transfer History'!A155=0,"",'[2]Transfer History'!A155)</f>
        <v/>
      </c>
      <c r="B155" t="str">
        <f>IF('[2]Transfer History'!B155=0,"",'[2]Transfer History'!B155)</f>
        <v/>
      </c>
      <c r="C155" t="str">
        <f>IF('[2]Transfer History'!C155=0,"",'[2]Transfer History'!C155)</f>
        <v/>
      </c>
      <c r="D155" t="str">
        <f>IF(OR('[2]Transfer History'!D155=0,'[2]Transfer History'!D155="GW"&amp;TEAMS!$J$3),"",'[2]Transfer History'!D155)</f>
        <v/>
      </c>
      <c r="E155" t="str">
        <f t="shared" si="8"/>
        <v/>
      </c>
      <c r="F155" t="str">
        <f t="shared" si="9"/>
        <v/>
      </c>
      <c r="G155" t="str">
        <f t="shared" si="10"/>
        <v/>
      </c>
      <c r="H155" t="str">
        <f t="shared" si="11"/>
        <v/>
      </c>
      <c r="J155" s="10" t="str">
        <f>[1]FINAL!B155</f>
        <v>Diego Carlos</v>
      </c>
      <c r="K155" t="str">
        <f>[1]FINAL!A155</f>
        <v>Diego Carlos Santos Silva</v>
      </c>
    </row>
    <row r="156" spans="1:11" x14ac:dyDescent="0.3">
      <c r="A156" t="str">
        <f>IF('[2]Transfer History'!A156=0,"",'[2]Transfer History'!A156)</f>
        <v/>
      </c>
      <c r="B156" t="str">
        <f>IF('[2]Transfer History'!B156=0,"",'[2]Transfer History'!B156)</f>
        <v/>
      </c>
      <c r="C156" t="str">
        <f>IF('[2]Transfer History'!C156=0,"",'[2]Transfer History'!C156)</f>
        <v/>
      </c>
      <c r="D156" t="str">
        <f>IF(OR('[2]Transfer History'!D156=0,'[2]Transfer History'!D156="GW"&amp;TEAMS!$J$3),"",'[2]Transfer History'!D156)</f>
        <v/>
      </c>
      <c r="E156" t="str">
        <f t="shared" si="8"/>
        <v/>
      </c>
      <c r="F156" t="str">
        <f t="shared" si="9"/>
        <v/>
      </c>
      <c r="G156" t="str">
        <f t="shared" si="10"/>
        <v/>
      </c>
      <c r="H156" t="str">
        <f t="shared" si="11"/>
        <v/>
      </c>
      <c r="J156" s="10" t="str">
        <f>[1]FINAL!B156</f>
        <v>Maguire</v>
      </c>
      <c r="K156" t="str">
        <f>[1]FINAL!A156</f>
        <v>Harry Maguire</v>
      </c>
    </row>
    <row r="157" spans="1:11" x14ac:dyDescent="0.3">
      <c r="A157" t="str">
        <f>IF('[2]Transfer History'!A157=0,"",'[2]Transfer History'!A157)</f>
        <v/>
      </c>
      <c r="B157" t="str">
        <f>IF('[2]Transfer History'!B157=0,"",'[2]Transfer History'!B157)</f>
        <v/>
      </c>
      <c r="C157" t="str">
        <f>IF('[2]Transfer History'!C157=0,"",'[2]Transfer History'!C157)</f>
        <v/>
      </c>
      <c r="D157" t="str">
        <f>IF(OR('[2]Transfer History'!D157=0,'[2]Transfer History'!D157="GW"&amp;TEAMS!$J$3),"",'[2]Transfer History'!D157)</f>
        <v/>
      </c>
      <c r="E157" t="str">
        <f t="shared" si="8"/>
        <v/>
      </c>
      <c r="F157" t="str">
        <f t="shared" si="9"/>
        <v/>
      </c>
      <c r="G157" t="str">
        <f t="shared" si="10"/>
        <v/>
      </c>
      <c r="H157" t="str">
        <f t="shared" si="11"/>
        <v/>
      </c>
      <c r="J157" s="10" t="str">
        <f>[1]FINAL!B157</f>
        <v>Holgate</v>
      </c>
      <c r="K157" t="str">
        <f>[1]FINAL!A157</f>
        <v>Mason Holgate</v>
      </c>
    </row>
    <row r="158" spans="1:11" x14ac:dyDescent="0.3">
      <c r="A158" t="str">
        <f>IF('[2]Transfer History'!A158=0,"",'[2]Transfer History'!A158)</f>
        <v/>
      </c>
      <c r="B158" t="str">
        <f>IF('[2]Transfer History'!B158=0,"",'[2]Transfer History'!B158)</f>
        <v/>
      </c>
      <c r="C158" t="str">
        <f>IF('[2]Transfer History'!C158=0,"",'[2]Transfer History'!C158)</f>
        <v/>
      </c>
      <c r="D158" t="str">
        <f>IF(OR('[2]Transfer History'!D158=0,'[2]Transfer History'!D158="GW"&amp;TEAMS!$J$3),"",'[2]Transfer History'!D158)</f>
        <v/>
      </c>
      <c r="E158" t="str">
        <f t="shared" si="8"/>
        <v/>
      </c>
      <c r="F158" t="str">
        <f t="shared" si="9"/>
        <v/>
      </c>
      <c r="G158" t="str">
        <f t="shared" si="10"/>
        <v/>
      </c>
      <c r="H158" t="str">
        <f t="shared" si="11"/>
        <v/>
      </c>
      <c r="J158" s="10" t="str">
        <f>[1]FINAL!B158</f>
        <v>Cairney</v>
      </c>
      <c r="K158" t="str">
        <f>[1]FINAL!A158</f>
        <v>Tom Cairney</v>
      </c>
    </row>
    <row r="159" spans="1:11" x14ac:dyDescent="0.3">
      <c r="A159" t="str">
        <f>IF('[2]Transfer History'!A159=0,"",'[2]Transfer History'!A159)</f>
        <v/>
      </c>
      <c r="B159" t="str">
        <f>IF('[2]Transfer History'!B159=0,"",'[2]Transfer History'!B159)</f>
        <v/>
      </c>
      <c r="C159" t="str">
        <f>IF('[2]Transfer History'!C159=0,"",'[2]Transfer History'!C159)</f>
        <v/>
      </c>
      <c r="D159" t="str">
        <f>IF(OR('[2]Transfer History'!D159=0,'[2]Transfer History'!D159="GW"&amp;TEAMS!$J$3),"",'[2]Transfer History'!D159)</f>
        <v/>
      </c>
      <c r="E159" t="str">
        <f t="shared" si="8"/>
        <v/>
      </c>
      <c r="F159" t="str">
        <f t="shared" si="9"/>
        <v/>
      </c>
      <c r="G159" t="str">
        <f t="shared" si="10"/>
        <v/>
      </c>
      <c r="H159" t="str">
        <f t="shared" si="11"/>
        <v/>
      </c>
      <c r="J159" s="10" t="str">
        <f>[1]FINAL!B159</f>
        <v>Lindelof</v>
      </c>
      <c r="K159" t="str">
        <f>[1]FINAL!A159</f>
        <v>Victor Lindelöf</v>
      </c>
    </row>
    <row r="160" spans="1:11" x14ac:dyDescent="0.3">
      <c r="A160" t="str">
        <f>IF('[2]Transfer History'!A160=0,"",'[2]Transfer History'!A160)</f>
        <v/>
      </c>
      <c r="B160" t="str">
        <f>IF('[2]Transfer History'!B160=0,"",'[2]Transfer History'!B160)</f>
        <v/>
      </c>
      <c r="C160" t="str">
        <f>IF('[2]Transfer History'!C160=0,"",'[2]Transfer History'!C160)</f>
        <v/>
      </c>
      <c r="D160" t="str">
        <f>IF(OR('[2]Transfer History'!D160=0,'[2]Transfer History'!D160="GW"&amp;TEAMS!$J$3),"",'[2]Transfer History'!D160)</f>
        <v/>
      </c>
      <c r="E160" t="str">
        <f t="shared" si="8"/>
        <v/>
      </c>
      <c r="F160" t="str">
        <f t="shared" si="9"/>
        <v/>
      </c>
      <c r="G160" t="str">
        <f t="shared" si="10"/>
        <v/>
      </c>
      <c r="H160" t="str">
        <f t="shared" si="11"/>
        <v/>
      </c>
      <c r="J160" s="10" t="str">
        <f>[1]FINAL!B160</f>
        <v>Tomkins</v>
      </c>
      <c r="K160" t="str">
        <f>[1]FINAL!A160</f>
        <v>James Tomkins</v>
      </c>
    </row>
    <row r="161" spans="1:11" x14ac:dyDescent="0.3">
      <c r="A161" t="str">
        <f>IF('[2]Transfer History'!A161=0,"",'[2]Transfer History'!A161)</f>
        <v/>
      </c>
      <c r="B161" t="str">
        <f>IF('[2]Transfer History'!B161=0,"",'[2]Transfer History'!B161)</f>
        <v/>
      </c>
      <c r="C161" t="str">
        <f>IF('[2]Transfer History'!C161=0,"",'[2]Transfer History'!C161)</f>
        <v/>
      </c>
      <c r="D161" t="str">
        <f>IF(OR('[2]Transfer History'!D161=0,'[2]Transfer History'!D161="GW"&amp;TEAMS!$J$3),"",'[2]Transfer History'!D161)</f>
        <v/>
      </c>
      <c r="E161" t="str">
        <f t="shared" si="8"/>
        <v/>
      </c>
      <c r="F161" t="str">
        <f t="shared" si="9"/>
        <v/>
      </c>
      <c r="G161" t="str">
        <f t="shared" si="10"/>
        <v/>
      </c>
      <c r="H161" t="str">
        <f t="shared" si="11"/>
        <v/>
      </c>
      <c r="J161" s="10" t="str">
        <f>[1]FINAL!B161</f>
        <v>P.Fornals</v>
      </c>
      <c r="K161" t="str">
        <f>[1]FINAL!A161</f>
        <v>Pablo Fornals Malla</v>
      </c>
    </row>
    <row r="162" spans="1:11" x14ac:dyDescent="0.3">
      <c r="A162" t="str">
        <f>IF('[2]Transfer History'!A162=0,"",'[2]Transfer History'!A162)</f>
        <v/>
      </c>
      <c r="B162" t="str">
        <f>IF('[2]Transfer History'!B162=0,"",'[2]Transfer History'!B162)</f>
        <v/>
      </c>
      <c r="C162" t="str">
        <f>IF('[2]Transfer History'!C162=0,"",'[2]Transfer History'!C162)</f>
        <v/>
      </c>
      <c r="D162" t="str">
        <f>IF(OR('[2]Transfer History'!D162=0,'[2]Transfer History'!D162="GW"&amp;TEAMS!$J$3),"",'[2]Transfer History'!D162)</f>
        <v/>
      </c>
      <c r="E162" t="str">
        <f t="shared" si="8"/>
        <v/>
      </c>
      <c r="F162" t="str">
        <f t="shared" si="9"/>
        <v/>
      </c>
      <c r="G162" t="str">
        <f t="shared" si="10"/>
        <v/>
      </c>
      <c r="H162" t="str">
        <f t="shared" si="11"/>
        <v/>
      </c>
      <c r="J162" s="10" t="str">
        <f>[1]FINAL!B162</f>
        <v>Sanchez</v>
      </c>
      <c r="K162" t="str">
        <f>[1]FINAL!A162</f>
        <v>Robert Sánchez</v>
      </c>
    </row>
    <row r="163" spans="1:11" x14ac:dyDescent="0.3">
      <c r="A163" t="str">
        <f>IF('[2]Transfer History'!A163=0,"",'[2]Transfer History'!A163)</f>
        <v/>
      </c>
      <c r="B163" t="str">
        <f>IF('[2]Transfer History'!B163=0,"",'[2]Transfer History'!B163)</f>
        <v/>
      </c>
      <c r="C163" t="str">
        <f>IF('[2]Transfer History'!C163=0,"",'[2]Transfer History'!C163)</f>
        <v/>
      </c>
      <c r="D163" t="str">
        <f>IF(OR('[2]Transfer History'!D163=0,'[2]Transfer History'!D163="GW"&amp;TEAMS!$J$3),"",'[2]Transfer History'!D163)</f>
        <v/>
      </c>
      <c r="E163" t="str">
        <f t="shared" si="8"/>
        <v/>
      </c>
      <c r="F163" t="str">
        <f t="shared" si="9"/>
        <v/>
      </c>
      <c r="G163" t="str">
        <f t="shared" si="10"/>
        <v/>
      </c>
      <c r="H163" t="str">
        <f t="shared" si="11"/>
        <v/>
      </c>
      <c r="J163" s="10" t="str">
        <f>[1]FINAL!B163</f>
        <v>Wilson</v>
      </c>
      <c r="K163" t="str">
        <f>[1]FINAL!A163</f>
        <v>Harry Wilson</v>
      </c>
    </row>
    <row r="164" spans="1:11" x14ac:dyDescent="0.3">
      <c r="A164" t="str">
        <f>IF('[2]Transfer History'!A164=0,"",'[2]Transfer History'!A164)</f>
        <v/>
      </c>
      <c r="B164" t="str">
        <f>IF('[2]Transfer History'!B164=0,"",'[2]Transfer History'!B164)</f>
        <v/>
      </c>
      <c r="C164" t="str">
        <f>IF('[2]Transfer History'!C164=0,"",'[2]Transfer History'!C164)</f>
        <v/>
      </c>
      <c r="D164" t="str">
        <f>IF(OR('[2]Transfer History'!D164=0,'[2]Transfer History'!D164="GW"&amp;TEAMS!$J$3),"",'[2]Transfer History'!D164)</f>
        <v/>
      </c>
      <c r="E164" t="str">
        <f t="shared" si="8"/>
        <v/>
      </c>
      <c r="F164" t="str">
        <f t="shared" si="9"/>
        <v/>
      </c>
      <c r="G164" t="str">
        <f t="shared" si="10"/>
        <v/>
      </c>
      <c r="H164" t="str">
        <f t="shared" si="11"/>
        <v/>
      </c>
      <c r="J164" s="10" t="str">
        <f>[1]FINAL!B164</f>
        <v>Broja</v>
      </c>
      <c r="K164" t="str">
        <f>[1]FINAL!A164</f>
        <v>Armando Broja</v>
      </c>
    </row>
    <row r="165" spans="1:11" x14ac:dyDescent="0.3">
      <c r="A165" t="str">
        <f>IF('[2]Transfer History'!A165=0,"",'[2]Transfer History'!A165)</f>
        <v/>
      </c>
      <c r="B165" t="str">
        <f>IF('[2]Transfer History'!B165=0,"",'[2]Transfer History'!B165)</f>
        <v/>
      </c>
      <c r="C165" t="str">
        <f>IF('[2]Transfer History'!C165=0,"",'[2]Transfer History'!C165)</f>
        <v/>
      </c>
      <c r="D165" t="str">
        <f>IF(OR('[2]Transfer History'!D165=0,'[2]Transfer History'!D165="GW"&amp;TEAMS!$J$3),"",'[2]Transfer History'!D165)</f>
        <v/>
      </c>
      <c r="E165" t="str">
        <f t="shared" si="8"/>
        <v/>
      </c>
      <c r="F165" t="str">
        <f t="shared" si="9"/>
        <v/>
      </c>
      <c r="G165" t="str">
        <f t="shared" si="10"/>
        <v/>
      </c>
      <c r="H165" t="str">
        <f t="shared" si="11"/>
        <v/>
      </c>
      <c r="J165" s="10" t="str">
        <f>[1]FINAL!B165</f>
        <v>Hee Chan</v>
      </c>
      <c r="K165" t="str">
        <f>[1]FINAL!A165</f>
        <v>Hwang Hee-chan</v>
      </c>
    </row>
    <row r="166" spans="1:11" x14ac:dyDescent="0.3">
      <c r="A166" t="str">
        <f>IF('[2]Transfer History'!A166=0,"",'[2]Transfer History'!A166)</f>
        <v/>
      </c>
      <c r="B166" t="str">
        <f>IF('[2]Transfer History'!B166=0,"",'[2]Transfer History'!B166)</f>
        <v/>
      </c>
      <c r="C166" t="str">
        <f>IF('[2]Transfer History'!C166=0,"",'[2]Transfer History'!C166)</f>
        <v/>
      </c>
      <c r="D166" t="str">
        <f>IF(OR('[2]Transfer History'!D166=0,'[2]Transfer History'!D166="GW"&amp;TEAMS!$J$3),"",'[2]Transfer History'!D166)</f>
        <v/>
      </c>
      <c r="E166" t="str">
        <f t="shared" si="8"/>
        <v/>
      </c>
      <c r="F166" t="str">
        <f t="shared" si="9"/>
        <v/>
      </c>
      <c r="G166" t="str">
        <f t="shared" si="10"/>
        <v/>
      </c>
      <c r="H166" t="str">
        <f t="shared" si="11"/>
        <v/>
      </c>
      <c r="J166" s="10" t="str">
        <f>[1]FINAL!B166</f>
        <v>Martinez</v>
      </c>
      <c r="K166" t="str">
        <f>[1]FINAL!A166</f>
        <v>Emiliano Martínez Romero</v>
      </c>
    </row>
    <row r="167" spans="1:11" x14ac:dyDescent="0.3">
      <c r="A167" t="str">
        <f>IF('[2]Transfer History'!A167=0,"",'[2]Transfer History'!A167)</f>
        <v/>
      </c>
      <c r="B167" t="str">
        <f>IF('[2]Transfer History'!B167=0,"",'[2]Transfer History'!B167)</f>
        <v/>
      </c>
      <c r="C167" t="str">
        <f>IF('[2]Transfer History'!C167=0,"",'[2]Transfer History'!C167)</f>
        <v/>
      </c>
      <c r="D167" t="str">
        <f>IF(OR('[2]Transfer History'!D167=0,'[2]Transfer History'!D167="GW"&amp;TEAMS!$J$3),"",'[2]Transfer History'!D167)</f>
        <v/>
      </c>
      <c r="E167" t="str">
        <f t="shared" si="8"/>
        <v/>
      </c>
      <c r="F167" t="str">
        <f t="shared" si="9"/>
        <v/>
      </c>
      <c r="G167" t="str">
        <f t="shared" si="10"/>
        <v/>
      </c>
      <c r="H167" t="str">
        <f t="shared" si="11"/>
        <v/>
      </c>
      <c r="J167" s="10" t="str">
        <f>[1]FINAL!B167</f>
        <v>Emerson</v>
      </c>
      <c r="K167" t="str">
        <f>[1]FINAL!A167</f>
        <v>Emerson Palmieri dos Santos</v>
      </c>
    </row>
    <row r="168" spans="1:11" x14ac:dyDescent="0.3">
      <c r="A168" t="str">
        <f>IF('[2]Transfer History'!A168=0,"",'[2]Transfer History'!A168)</f>
        <v/>
      </c>
      <c r="B168" t="str">
        <f>IF('[2]Transfer History'!B168=0,"",'[2]Transfer History'!B168)</f>
        <v/>
      </c>
      <c r="C168" t="str">
        <f>IF('[2]Transfer History'!C168=0,"",'[2]Transfer History'!C168)</f>
        <v/>
      </c>
      <c r="D168" t="str">
        <f>IF(OR('[2]Transfer History'!D168=0,'[2]Transfer History'!D168="GW"&amp;TEAMS!$J$3),"",'[2]Transfer History'!D168)</f>
        <v/>
      </c>
      <c r="E168" t="str">
        <f t="shared" si="8"/>
        <v/>
      </c>
      <c r="F168" t="str">
        <f t="shared" si="9"/>
        <v/>
      </c>
      <c r="G168" t="str">
        <f t="shared" si="10"/>
        <v/>
      </c>
      <c r="H168" t="str">
        <f t="shared" si="11"/>
        <v/>
      </c>
      <c r="J168" s="10" t="str">
        <f>[1]FINAL!B168</f>
        <v>Dunk</v>
      </c>
      <c r="K168" t="str">
        <f>[1]FINAL!A168</f>
        <v>Lewis Dunk</v>
      </c>
    </row>
    <row r="169" spans="1:11" x14ac:dyDescent="0.3">
      <c r="A169" t="str">
        <f>IF('[2]Transfer History'!A169=0,"",'[2]Transfer History'!A169)</f>
        <v/>
      </c>
      <c r="B169" t="str">
        <f>IF('[2]Transfer History'!B169=0,"",'[2]Transfer History'!B169)</f>
        <v/>
      </c>
      <c r="C169" t="str">
        <f>IF('[2]Transfer History'!C169=0,"",'[2]Transfer History'!C169)</f>
        <v/>
      </c>
      <c r="D169" t="str">
        <f>IF(OR('[2]Transfer History'!D169=0,'[2]Transfer History'!D169="GW"&amp;TEAMS!$J$3),"",'[2]Transfer History'!D169)</f>
        <v/>
      </c>
      <c r="E169" t="str">
        <f t="shared" si="8"/>
        <v/>
      </c>
      <c r="F169" t="str">
        <f t="shared" si="9"/>
        <v/>
      </c>
      <c r="G169" t="str">
        <f t="shared" si="10"/>
        <v/>
      </c>
      <c r="H169" t="str">
        <f t="shared" si="11"/>
        <v/>
      </c>
      <c r="J169" s="10" t="str">
        <f>[1]FINAL!B169</f>
        <v>Onana</v>
      </c>
      <c r="K169" t="str">
        <f>[1]FINAL!A169</f>
        <v>André Onana</v>
      </c>
    </row>
    <row r="170" spans="1:11" x14ac:dyDescent="0.3">
      <c r="A170" t="str">
        <f>IF('[2]Transfer History'!A170=0,"",'[2]Transfer History'!A170)</f>
        <v/>
      </c>
      <c r="B170" t="str">
        <f>IF('[2]Transfer History'!B170=0,"",'[2]Transfer History'!B170)</f>
        <v/>
      </c>
      <c r="C170" t="str">
        <f>IF('[2]Transfer History'!C170=0,"",'[2]Transfer History'!C170)</f>
        <v/>
      </c>
      <c r="D170" t="str">
        <f>IF(OR('[2]Transfer History'!D170=0,'[2]Transfer History'!D170="GW"&amp;TEAMS!$J$3),"",'[2]Transfer History'!D170)</f>
        <v/>
      </c>
      <c r="E170" t="str">
        <f t="shared" si="8"/>
        <v/>
      </c>
      <c r="F170" t="str">
        <f t="shared" si="9"/>
        <v/>
      </c>
      <c r="G170" t="str">
        <f t="shared" si="10"/>
        <v/>
      </c>
      <c r="H170" t="str">
        <f t="shared" si="11"/>
        <v/>
      </c>
      <c r="J170" s="10" t="str">
        <f>[1]FINAL!B170</f>
        <v>Mateta</v>
      </c>
      <c r="K170" t="str">
        <f>[1]FINAL!A170</f>
        <v>Jean-Philippe Mateta</v>
      </c>
    </row>
    <row r="171" spans="1:11" x14ac:dyDescent="0.3">
      <c r="A171" t="str">
        <f>IF('[2]Transfer History'!A171=0,"",'[2]Transfer History'!A171)</f>
        <v/>
      </c>
      <c r="B171" t="str">
        <f>IF('[2]Transfer History'!B171=0,"",'[2]Transfer History'!B171)</f>
        <v/>
      </c>
      <c r="C171" t="str">
        <f>IF('[2]Transfer History'!C171=0,"",'[2]Transfer History'!C171)</f>
        <v/>
      </c>
      <c r="D171" t="str">
        <f>IF(OR('[2]Transfer History'!D171=0,'[2]Transfer History'!D171="GW"&amp;TEAMS!$J$3),"",'[2]Transfer History'!D171)</f>
        <v/>
      </c>
      <c r="E171" t="str">
        <f t="shared" si="8"/>
        <v/>
      </c>
      <c r="F171" t="str">
        <f t="shared" si="9"/>
        <v/>
      </c>
      <c r="G171" t="str">
        <f t="shared" si="10"/>
        <v/>
      </c>
      <c r="H171" t="str">
        <f t="shared" si="11"/>
        <v/>
      </c>
      <c r="J171" s="10" t="str">
        <f>[1]FINAL!B171</f>
        <v>Jones</v>
      </c>
      <c r="K171" t="str">
        <f>[1]FINAL!A171</f>
        <v>Curtis Jones</v>
      </c>
    </row>
    <row r="172" spans="1:11" x14ac:dyDescent="0.3">
      <c r="A172" t="str">
        <f>IF('[2]Transfer History'!A172=0,"",'[2]Transfer History'!A172)</f>
        <v/>
      </c>
      <c r="B172" t="str">
        <f>IF('[2]Transfer History'!B172=0,"",'[2]Transfer History'!B172)</f>
        <v/>
      </c>
      <c r="C172" t="str">
        <f>IF('[2]Transfer History'!C172=0,"",'[2]Transfer History'!C172)</f>
        <v/>
      </c>
      <c r="D172" t="str">
        <f>IF(OR('[2]Transfer History'!D172=0,'[2]Transfer History'!D172="GW"&amp;TEAMS!$J$3),"",'[2]Transfer History'!D172)</f>
        <v/>
      </c>
      <c r="E172" t="str">
        <f t="shared" si="8"/>
        <v/>
      </c>
      <c r="F172" t="str">
        <f t="shared" si="9"/>
        <v/>
      </c>
      <c r="G172" t="str">
        <f t="shared" si="10"/>
        <v/>
      </c>
      <c r="H172" t="str">
        <f t="shared" si="11"/>
        <v/>
      </c>
      <c r="J172" s="10" t="str">
        <f>[1]FINAL!B172</f>
        <v>Raúl</v>
      </c>
      <c r="K172" t="str">
        <f>[1]FINAL!A172</f>
        <v>Raúl Jiménez</v>
      </c>
    </row>
    <row r="173" spans="1:11" x14ac:dyDescent="0.3">
      <c r="A173" t="str">
        <f>IF('[2]Transfer History'!A173=0,"",'[2]Transfer History'!A173)</f>
        <v/>
      </c>
      <c r="B173" t="str">
        <f>IF('[2]Transfer History'!B173=0,"",'[2]Transfer History'!B173)</f>
        <v/>
      </c>
      <c r="C173" t="str">
        <f>IF('[2]Transfer History'!C173=0,"",'[2]Transfer History'!C173)</f>
        <v/>
      </c>
      <c r="D173" t="str">
        <f>IF(OR('[2]Transfer History'!D173=0,'[2]Transfer History'!D173="GW"&amp;TEAMS!$J$3),"",'[2]Transfer History'!D173)</f>
        <v/>
      </c>
      <c r="E173" t="str">
        <f t="shared" si="8"/>
        <v/>
      </c>
      <c r="F173" t="str">
        <f t="shared" si="9"/>
        <v/>
      </c>
      <c r="G173" t="str">
        <f t="shared" si="10"/>
        <v/>
      </c>
      <c r="H173" t="str">
        <f t="shared" si="11"/>
        <v/>
      </c>
      <c r="J173" s="10" t="str">
        <f>[1]FINAL!B173</f>
        <v>Anthony</v>
      </c>
      <c r="K173" t="str">
        <f>[1]FINAL!A173</f>
        <v>Jaidon Anthony</v>
      </c>
    </row>
    <row r="174" spans="1:11" x14ac:dyDescent="0.3">
      <c r="A174" t="str">
        <f>IF('[2]Transfer History'!A174=0,"",'[2]Transfer History'!A174)</f>
        <v/>
      </c>
      <c r="B174" t="str">
        <f>IF('[2]Transfer History'!B174=0,"",'[2]Transfer History'!B174)</f>
        <v/>
      </c>
      <c r="C174" t="str">
        <f>IF('[2]Transfer History'!C174=0,"",'[2]Transfer History'!C174)</f>
        <v/>
      </c>
      <c r="D174" t="str">
        <f>IF(OR('[2]Transfer History'!D174=0,'[2]Transfer History'!D174="GW"&amp;TEAMS!$J$3),"",'[2]Transfer History'!D174)</f>
        <v/>
      </c>
      <c r="E174" t="str">
        <f t="shared" si="8"/>
        <v/>
      </c>
      <c r="F174" t="str">
        <f t="shared" si="9"/>
        <v/>
      </c>
      <c r="G174" t="str">
        <f t="shared" si="10"/>
        <v/>
      </c>
      <c r="H174" t="str">
        <f t="shared" si="11"/>
        <v/>
      </c>
      <c r="J174" s="10" t="str">
        <f>[1]FINAL!B174</f>
        <v>Fred</v>
      </c>
      <c r="K174" t="str">
        <f>[1]FINAL!A174</f>
        <v>Frederico Rodrigues de Paula Santos</v>
      </c>
    </row>
    <row r="175" spans="1:11" x14ac:dyDescent="0.3">
      <c r="A175" t="str">
        <f>IF('[2]Transfer History'!A175=0,"",'[2]Transfer History'!A175)</f>
        <v/>
      </c>
      <c r="B175" t="str">
        <f>IF('[2]Transfer History'!B175=0,"",'[2]Transfer History'!B175)</f>
        <v/>
      </c>
      <c r="C175" t="str">
        <f>IF('[2]Transfer History'!C175=0,"",'[2]Transfer History'!C175)</f>
        <v/>
      </c>
      <c r="D175" t="str">
        <f>IF(OR('[2]Transfer History'!D175=0,'[2]Transfer History'!D175="GW"&amp;TEAMS!$J$3),"",'[2]Transfer History'!D175)</f>
        <v/>
      </c>
      <c r="E175" t="str">
        <f t="shared" si="8"/>
        <v/>
      </c>
      <c r="F175" t="str">
        <f t="shared" si="9"/>
        <v/>
      </c>
      <c r="G175" t="str">
        <f t="shared" si="10"/>
        <v/>
      </c>
      <c r="H175" t="str">
        <f t="shared" si="11"/>
        <v/>
      </c>
      <c r="J175" s="10" t="str">
        <f>[1]FINAL!B175</f>
        <v>Henry</v>
      </c>
      <c r="K175" t="str">
        <f>[1]FINAL!A175</f>
        <v>Rico Henry</v>
      </c>
    </row>
    <row r="176" spans="1:11" x14ac:dyDescent="0.3">
      <c r="A176" t="str">
        <f>IF('[2]Transfer History'!A176=0,"",'[2]Transfer History'!A176)</f>
        <v/>
      </c>
      <c r="B176" t="str">
        <f>IF('[2]Transfer History'!B176=0,"",'[2]Transfer History'!B176)</f>
        <v/>
      </c>
      <c r="C176" t="str">
        <f>IF('[2]Transfer History'!C176=0,"",'[2]Transfer History'!C176)</f>
        <v/>
      </c>
      <c r="D176" t="str">
        <f>IF(OR('[2]Transfer History'!D176=0,'[2]Transfer History'!D176="GW"&amp;TEAMS!$J$3),"",'[2]Transfer History'!D176)</f>
        <v/>
      </c>
      <c r="E176" t="str">
        <f t="shared" si="8"/>
        <v/>
      </c>
      <c r="F176" t="str">
        <f t="shared" si="9"/>
        <v/>
      </c>
      <c r="G176" t="str">
        <f t="shared" si="10"/>
        <v/>
      </c>
      <c r="H176" t="str">
        <f t="shared" si="11"/>
        <v/>
      </c>
      <c r="J176" s="10" t="str">
        <f>[1]FINAL!B176</f>
        <v>Dier</v>
      </c>
      <c r="K176" t="str">
        <f>[1]FINAL!A176</f>
        <v>Eric Dier</v>
      </c>
    </row>
    <row r="177" spans="1:11" x14ac:dyDescent="0.3">
      <c r="A177" t="str">
        <f>IF('[2]Transfer History'!A177=0,"",'[2]Transfer History'!A177)</f>
        <v/>
      </c>
      <c r="B177" t="str">
        <f>IF('[2]Transfer History'!B177=0,"",'[2]Transfer History'!B177)</f>
        <v/>
      </c>
      <c r="C177" t="str">
        <f>IF('[2]Transfer History'!C177=0,"",'[2]Transfer History'!C177)</f>
        <v/>
      </c>
      <c r="D177" t="str">
        <f>IF(OR('[2]Transfer History'!D177=0,'[2]Transfer History'!D177="GW"&amp;TEAMS!$J$3),"",'[2]Transfer History'!D177)</f>
        <v/>
      </c>
      <c r="E177" t="str">
        <f t="shared" si="8"/>
        <v/>
      </c>
      <c r="F177" t="str">
        <f t="shared" si="9"/>
        <v/>
      </c>
      <c r="G177" t="str">
        <f t="shared" si="10"/>
        <v/>
      </c>
      <c r="H177" t="str">
        <f t="shared" si="11"/>
        <v/>
      </c>
      <c r="J177" s="10" t="str">
        <f>[1]FINAL!B177</f>
        <v>Ogbonna</v>
      </c>
      <c r="K177" t="str">
        <f>[1]FINAL!A177</f>
        <v>Angelo Ogbonna</v>
      </c>
    </row>
    <row r="178" spans="1:11" x14ac:dyDescent="0.3">
      <c r="A178" t="str">
        <f>IF('[2]Transfer History'!A178=0,"",'[2]Transfer History'!A178)</f>
        <v/>
      </c>
      <c r="B178" t="str">
        <f>IF('[2]Transfer History'!B178=0,"",'[2]Transfer History'!B178)</f>
        <v/>
      </c>
      <c r="C178" t="str">
        <f>IF('[2]Transfer History'!C178=0,"",'[2]Transfer History'!C178)</f>
        <v/>
      </c>
      <c r="D178" t="str">
        <f>IF(OR('[2]Transfer History'!D178=0,'[2]Transfer History'!D178="GW"&amp;TEAMS!$J$3),"",'[2]Transfer History'!D178)</f>
        <v/>
      </c>
      <c r="E178" t="str">
        <f t="shared" si="8"/>
        <v/>
      </c>
      <c r="F178" t="str">
        <f t="shared" si="9"/>
        <v/>
      </c>
      <c r="G178" t="str">
        <f t="shared" si="10"/>
        <v/>
      </c>
      <c r="H178" t="str">
        <f t="shared" si="11"/>
        <v/>
      </c>
      <c r="J178" s="10" t="str">
        <f>[1]FINAL!B178</f>
        <v>R.Varane</v>
      </c>
      <c r="K178" t="str">
        <f>[1]FINAL!A178</f>
        <v>Raphaël Varane</v>
      </c>
    </row>
    <row r="179" spans="1:11" x14ac:dyDescent="0.3">
      <c r="A179" t="str">
        <f>IF('[2]Transfer History'!A179=0,"",'[2]Transfer History'!A179)</f>
        <v/>
      </c>
      <c r="B179" t="str">
        <f>IF('[2]Transfer History'!B179=0,"",'[2]Transfer History'!B179)</f>
        <v/>
      </c>
      <c r="C179" t="str">
        <f>IF('[2]Transfer History'!C179=0,"",'[2]Transfer History'!C179)</f>
        <v/>
      </c>
      <c r="D179" t="str">
        <f>IF(OR('[2]Transfer History'!D179=0,'[2]Transfer History'!D179="GW"&amp;TEAMS!$J$3),"",'[2]Transfer History'!D179)</f>
        <v/>
      </c>
      <c r="E179" t="str">
        <f t="shared" si="8"/>
        <v/>
      </c>
      <c r="F179" t="str">
        <f t="shared" si="9"/>
        <v/>
      </c>
      <c r="G179" t="str">
        <f t="shared" si="10"/>
        <v/>
      </c>
      <c r="H179" t="str">
        <f t="shared" si="11"/>
        <v/>
      </c>
      <c r="J179" s="10" t="str">
        <f>[1]FINAL!B179</f>
        <v>Antonio</v>
      </c>
      <c r="K179" t="str">
        <f>[1]FINAL!A179</f>
        <v>Michail Antonio</v>
      </c>
    </row>
    <row r="180" spans="1:11" x14ac:dyDescent="0.3">
      <c r="A180" t="str">
        <f>IF('[2]Transfer History'!A180=0,"",'[2]Transfer History'!A180)</f>
        <v/>
      </c>
      <c r="B180" t="str">
        <f>IF('[2]Transfer History'!B180=0,"",'[2]Transfer History'!B180)</f>
        <v/>
      </c>
      <c r="C180" t="str">
        <f>IF('[2]Transfer History'!C180=0,"",'[2]Transfer History'!C180)</f>
        <v/>
      </c>
      <c r="D180" t="str">
        <f>IF(OR('[2]Transfer History'!D180=0,'[2]Transfer History'!D180="GW"&amp;TEAMS!$J$3),"",'[2]Transfer History'!D180)</f>
        <v/>
      </c>
      <c r="E180" t="str">
        <f t="shared" si="8"/>
        <v/>
      </c>
      <c r="F180" t="str">
        <f t="shared" si="9"/>
        <v/>
      </c>
      <c r="G180" t="str">
        <f t="shared" si="10"/>
        <v/>
      </c>
      <c r="H180" t="str">
        <f t="shared" si="11"/>
        <v/>
      </c>
      <c r="J180" s="10" t="str">
        <f>[1]FINAL!B180</f>
        <v>Rodrigo</v>
      </c>
      <c r="K180" t="str">
        <f>[1]FINAL!A180</f>
        <v>Rodrigo Hernandez</v>
      </c>
    </row>
    <row r="181" spans="1:11" x14ac:dyDescent="0.3">
      <c r="A181" t="str">
        <f>IF('[2]Transfer History'!A181=0,"",'[2]Transfer History'!A181)</f>
        <v/>
      </c>
      <c r="B181" t="str">
        <f>IF('[2]Transfer History'!B181=0,"",'[2]Transfer History'!B181)</f>
        <v/>
      </c>
      <c r="C181" t="str">
        <f>IF('[2]Transfer History'!C181=0,"",'[2]Transfer History'!C181)</f>
        <v/>
      </c>
      <c r="D181" t="str">
        <f>IF(OR('[2]Transfer History'!D181=0,'[2]Transfer History'!D181="GW"&amp;TEAMS!$J$3),"",'[2]Transfer History'!D181)</f>
        <v/>
      </c>
      <c r="E181" t="str">
        <f t="shared" si="8"/>
        <v/>
      </c>
      <c r="F181" t="str">
        <f t="shared" si="9"/>
        <v/>
      </c>
      <c r="G181" t="str">
        <f t="shared" si="10"/>
        <v/>
      </c>
      <c r="H181" t="str">
        <f t="shared" si="11"/>
        <v/>
      </c>
      <c r="J181" s="10" t="str">
        <f>[1]FINAL!B181</f>
        <v>Cornet</v>
      </c>
      <c r="K181" t="str">
        <f>[1]FINAL!A181</f>
        <v>Maxwel Cornet</v>
      </c>
    </row>
    <row r="182" spans="1:11" x14ac:dyDescent="0.3">
      <c r="A182" t="str">
        <f>IF('[2]Transfer History'!A182=0,"",'[2]Transfer History'!A182)</f>
        <v/>
      </c>
      <c r="B182" t="str">
        <f>IF('[2]Transfer History'!B182=0,"",'[2]Transfer History'!B182)</f>
        <v/>
      </c>
      <c r="C182" t="str">
        <f>IF('[2]Transfer History'!C182=0,"",'[2]Transfer History'!C182)</f>
        <v/>
      </c>
      <c r="D182" t="str">
        <f>IF(OR('[2]Transfer History'!D182=0,'[2]Transfer History'!D182="GW"&amp;TEAMS!$J$3),"",'[2]Transfer History'!D182)</f>
        <v/>
      </c>
      <c r="E182" t="str">
        <f t="shared" si="8"/>
        <v/>
      </c>
      <c r="F182" t="str">
        <f t="shared" si="9"/>
        <v/>
      </c>
      <c r="G182" t="str">
        <f t="shared" si="10"/>
        <v/>
      </c>
      <c r="H182" t="str">
        <f t="shared" si="11"/>
        <v/>
      </c>
      <c r="J182" s="10" t="str">
        <f>[1]FINAL!B182</f>
        <v>Bentancur</v>
      </c>
      <c r="K182" t="str">
        <f>[1]FINAL!A182</f>
        <v>Rodrigo Bentancur</v>
      </c>
    </row>
    <row r="183" spans="1:11" x14ac:dyDescent="0.3">
      <c r="A183" t="str">
        <f>IF('[2]Transfer History'!A183=0,"",'[2]Transfer History'!A183)</f>
        <v/>
      </c>
      <c r="B183" t="str">
        <f>IF('[2]Transfer History'!B183=0,"",'[2]Transfer History'!B183)</f>
        <v/>
      </c>
      <c r="C183" t="str">
        <f>IF('[2]Transfer History'!C183=0,"",'[2]Transfer History'!C183)</f>
        <v/>
      </c>
      <c r="D183" t="str">
        <f>IF(OR('[2]Transfer History'!D183=0,'[2]Transfer History'!D183="GW"&amp;TEAMS!$J$3),"",'[2]Transfer History'!D183)</f>
        <v/>
      </c>
      <c r="E183" t="str">
        <f t="shared" si="8"/>
        <v/>
      </c>
      <c r="F183" t="str">
        <f t="shared" si="9"/>
        <v/>
      </c>
      <c r="G183" t="str">
        <f t="shared" si="10"/>
        <v/>
      </c>
      <c r="H183" t="str">
        <f t="shared" si="11"/>
        <v/>
      </c>
      <c r="J183" s="10" t="str">
        <f>[1]FINAL!B183</f>
        <v>Leno</v>
      </c>
      <c r="K183" t="str">
        <f>[1]FINAL!A183</f>
        <v>Bernd Leno</v>
      </c>
    </row>
    <row r="184" spans="1:11" x14ac:dyDescent="0.3">
      <c r="A184" t="str">
        <f>IF('[2]Transfer History'!A184=0,"",'[2]Transfer History'!A184)</f>
        <v/>
      </c>
      <c r="B184" t="str">
        <f>IF('[2]Transfer History'!B184=0,"",'[2]Transfer History'!B184)</f>
        <v/>
      </c>
      <c r="C184" t="str">
        <f>IF('[2]Transfer History'!C184=0,"",'[2]Transfer History'!C184)</f>
        <v/>
      </c>
      <c r="D184" t="str">
        <f>IF(OR('[2]Transfer History'!D184=0,'[2]Transfer History'!D184="GW"&amp;TEAMS!$J$3),"",'[2]Transfer History'!D184)</f>
        <v/>
      </c>
      <c r="E184" t="str">
        <f t="shared" si="8"/>
        <v/>
      </c>
      <c r="F184" t="str">
        <f t="shared" si="9"/>
        <v/>
      </c>
      <c r="G184" t="str">
        <f t="shared" si="10"/>
        <v/>
      </c>
      <c r="H184" t="str">
        <f t="shared" si="11"/>
        <v/>
      </c>
      <c r="J184" s="10" t="str">
        <f>[1]FINAL!B184</f>
        <v>Iwobi</v>
      </c>
      <c r="K184" t="str">
        <f>[1]FINAL!A184</f>
        <v>Alex Iwobi</v>
      </c>
    </row>
    <row r="185" spans="1:11" x14ac:dyDescent="0.3">
      <c r="A185" t="str">
        <f>IF('[2]Transfer History'!A185=0,"",'[2]Transfer History'!A185)</f>
        <v/>
      </c>
      <c r="B185" t="str">
        <f>IF('[2]Transfer History'!B185=0,"",'[2]Transfer History'!B185)</f>
        <v/>
      </c>
      <c r="C185" t="str">
        <f>IF('[2]Transfer History'!C185=0,"",'[2]Transfer History'!C185)</f>
        <v/>
      </c>
      <c r="D185" t="str">
        <f>IF(OR('[2]Transfer History'!D185=0,'[2]Transfer History'!D185="GW"&amp;TEAMS!$J$3),"",'[2]Transfer History'!D185)</f>
        <v/>
      </c>
      <c r="E185" t="str">
        <f t="shared" si="8"/>
        <v/>
      </c>
      <c r="F185" t="str">
        <f t="shared" si="9"/>
        <v/>
      </c>
      <c r="G185" t="str">
        <f t="shared" si="10"/>
        <v/>
      </c>
      <c r="H185" t="str">
        <f t="shared" si="11"/>
        <v/>
      </c>
      <c r="J185" s="10" t="str">
        <f>[1]FINAL!B185</f>
        <v>Walker</v>
      </c>
      <c r="K185" t="str">
        <f>[1]FINAL!A185</f>
        <v>Kyle Walker</v>
      </c>
    </row>
    <row r="186" spans="1:11" x14ac:dyDescent="0.3">
      <c r="A186" t="str">
        <f>IF('[2]Transfer History'!A186=0,"",'[2]Transfer History'!A186)</f>
        <v/>
      </c>
      <c r="B186" t="str">
        <f>IF('[2]Transfer History'!B186=0,"",'[2]Transfer History'!B186)</f>
        <v/>
      </c>
      <c r="C186" t="str">
        <f>IF('[2]Transfer History'!C186=0,"",'[2]Transfer History'!C186)</f>
        <v/>
      </c>
      <c r="D186" t="str">
        <f>IF(OR('[2]Transfer History'!D186=0,'[2]Transfer History'!D186="GW"&amp;TEAMS!$J$3),"",'[2]Transfer History'!D186)</f>
        <v/>
      </c>
      <c r="E186" t="str">
        <f t="shared" si="8"/>
        <v/>
      </c>
      <c r="F186" t="str">
        <f t="shared" si="9"/>
        <v/>
      </c>
      <c r="G186" t="str">
        <f t="shared" si="10"/>
        <v/>
      </c>
      <c r="H186" t="str">
        <f t="shared" si="11"/>
        <v/>
      </c>
      <c r="J186" s="10" t="str">
        <f>[1]FINAL!B186</f>
        <v>Matip</v>
      </c>
      <c r="K186" t="str">
        <f>[1]FINAL!A186</f>
        <v>Joel Matip</v>
      </c>
    </row>
    <row r="187" spans="1:11" x14ac:dyDescent="0.3">
      <c r="A187" t="str">
        <f>IF('[2]Transfer History'!A187=0,"",'[2]Transfer History'!A187)</f>
        <v/>
      </c>
      <c r="B187" t="str">
        <f>IF('[2]Transfer History'!B187=0,"",'[2]Transfer History'!B187)</f>
        <v/>
      </c>
      <c r="C187" t="str">
        <f>IF('[2]Transfer History'!C187=0,"",'[2]Transfer History'!C187)</f>
        <v/>
      </c>
      <c r="D187" t="str">
        <f>IF(OR('[2]Transfer History'!D187=0,'[2]Transfer History'!D187="GW"&amp;TEAMS!$J$3),"",'[2]Transfer History'!D187)</f>
        <v/>
      </c>
      <c r="E187" t="str">
        <f t="shared" si="8"/>
        <v/>
      </c>
      <c r="F187" t="str">
        <f t="shared" si="9"/>
        <v/>
      </c>
      <c r="G187" t="str">
        <f t="shared" si="10"/>
        <v/>
      </c>
      <c r="H187" t="str">
        <f t="shared" si="11"/>
        <v/>
      </c>
      <c r="J187" s="10" t="str">
        <f>[1]FINAL!B187</f>
        <v>Longstaff</v>
      </c>
      <c r="K187" t="str">
        <f>[1]FINAL!A187</f>
        <v>Sean Longstaff</v>
      </c>
    </row>
    <row r="188" spans="1:11" x14ac:dyDescent="0.3">
      <c r="A188" t="str">
        <f>IF('[2]Transfer History'!A188=0,"",'[2]Transfer History'!A188)</f>
        <v/>
      </c>
      <c r="B188" t="str">
        <f>IF('[2]Transfer History'!B188=0,"",'[2]Transfer History'!B188)</f>
        <v/>
      </c>
      <c r="C188" t="str">
        <f>IF('[2]Transfer History'!C188=0,"",'[2]Transfer History'!C188)</f>
        <v/>
      </c>
      <c r="D188" t="str">
        <f>IF(OR('[2]Transfer History'!D188=0,'[2]Transfer History'!D188="GW"&amp;TEAMS!$J$3),"",'[2]Transfer History'!D188)</f>
        <v/>
      </c>
      <c r="E188" t="str">
        <f t="shared" si="8"/>
        <v/>
      </c>
      <c r="F188" t="str">
        <f t="shared" si="9"/>
        <v/>
      </c>
      <c r="G188" t="str">
        <f t="shared" si="10"/>
        <v/>
      </c>
      <c r="H188" t="str">
        <f t="shared" si="11"/>
        <v/>
      </c>
      <c r="J188" s="10" t="str">
        <f>[1]FINAL!B188</f>
        <v>Olsen</v>
      </c>
      <c r="K188" t="str">
        <f>[1]FINAL!A188</f>
        <v>Robin Olsen</v>
      </c>
    </row>
    <row r="189" spans="1:11" x14ac:dyDescent="0.3">
      <c r="A189" t="str">
        <f>IF('[2]Transfer History'!A189=0,"",'[2]Transfer History'!A189)</f>
        <v/>
      </c>
      <c r="B189" t="str">
        <f>IF('[2]Transfer History'!B189=0,"",'[2]Transfer History'!B189)</f>
        <v/>
      </c>
      <c r="C189" t="str">
        <f>IF('[2]Transfer History'!C189=0,"",'[2]Transfer History'!C189)</f>
        <v/>
      </c>
      <c r="D189" t="str">
        <f>IF(OR('[2]Transfer History'!D189=0,'[2]Transfer History'!D189="GW"&amp;TEAMS!$J$3),"",'[2]Transfer History'!D189)</f>
        <v/>
      </c>
      <c r="E189" t="str">
        <f t="shared" si="8"/>
        <v/>
      </c>
      <c r="F189" t="str">
        <f t="shared" si="9"/>
        <v/>
      </c>
      <c r="G189" t="str">
        <f t="shared" si="10"/>
        <v/>
      </c>
      <c r="H189" t="str">
        <f t="shared" si="11"/>
        <v/>
      </c>
      <c r="J189" s="10" t="str">
        <f>[1]FINAL!B189</f>
        <v>Fabianski</v>
      </c>
      <c r="K189" t="str">
        <f>[1]FINAL!A189</f>
        <v>Lukasz Fabianski</v>
      </c>
    </row>
    <row r="190" spans="1:11" x14ac:dyDescent="0.3">
      <c r="A190" t="str">
        <f>IF('[2]Transfer History'!A190=0,"",'[2]Transfer History'!A190)</f>
        <v/>
      </c>
      <c r="B190" t="str">
        <f>IF('[2]Transfer History'!B190=0,"",'[2]Transfer History'!B190)</f>
        <v/>
      </c>
      <c r="C190" t="str">
        <f>IF('[2]Transfer History'!C190=0,"",'[2]Transfer History'!C190)</f>
        <v/>
      </c>
      <c r="D190" t="str">
        <f>IF(OR('[2]Transfer History'!D190=0,'[2]Transfer History'!D190="GW"&amp;TEAMS!$J$3),"",'[2]Transfer History'!D190)</f>
        <v/>
      </c>
      <c r="E190" t="str">
        <f t="shared" si="8"/>
        <v/>
      </c>
      <c r="F190" t="str">
        <f t="shared" si="9"/>
        <v/>
      </c>
      <c r="G190" t="str">
        <f t="shared" si="10"/>
        <v/>
      </c>
      <c r="H190" t="str">
        <f t="shared" si="11"/>
        <v/>
      </c>
      <c r="J190" s="10" t="str">
        <f>[1]FINAL!B190</f>
        <v>Bertrand Traoré</v>
      </c>
      <c r="K190" t="str">
        <f>[1]FINAL!A190</f>
        <v>Bertrand Traoré</v>
      </c>
    </row>
    <row r="191" spans="1:11" x14ac:dyDescent="0.3">
      <c r="A191" t="str">
        <f>IF('[2]Transfer History'!A191=0,"",'[2]Transfer History'!A191)</f>
        <v/>
      </c>
      <c r="B191" t="str">
        <f>IF('[2]Transfer History'!B191=0,"",'[2]Transfer History'!B191)</f>
        <v/>
      </c>
      <c r="C191" t="str">
        <f>IF('[2]Transfer History'!C191=0,"",'[2]Transfer History'!C191)</f>
        <v/>
      </c>
      <c r="D191" t="str">
        <f>IF(OR('[2]Transfer History'!D191=0,'[2]Transfer History'!D191="GW"&amp;TEAMS!$J$3),"",'[2]Transfer History'!D191)</f>
        <v/>
      </c>
      <c r="E191" t="str">
        <f t="shared" si="8"/>
        <v/>
      </c>
      <c r="F191" t="str">
        <f t="shared" si="9"/>
        <v/>
      </c>
      <c r="G191" t="str">
        <f t="shared" si="10"/>
        <v/>
      </c>
      <c r="H191" t="str">
        <f t="shared" si="11"/>
        <v/>
      </c>
      <c r="J191" s="10" t="str">
        <f>[1]FINAL!B191</f>
        <v>Young</v>
      </c>
      <c r="K191" t="str">
        <f>[1]FINAL!A191</f>
        <v>Ashley Young</v>
      </c>
    </row>
    <row r="192" spans="1:11" x14ac:dyDescent="0.3">
      <c r="A192" t="str">
        <f>IF('[2]Transfer History'!A192=0,"",'[2]Transfer History'!A192)</f>
        <v/>
      </c>
      <c r="B192" t="str">
        <f>IF('[2]Transfer History'!B192=0,"",'[2]Transfer History'!B192)</f>
        <v/>
      </c>
      <c r="C192" t="str">
        <f>IF('[2]Transfer History'!C192=0,"",'[2]Transfer History'!C192)</f>
        <v/>
      </c>
      <c r="D192" t="str">
        <f>IF(OR('[2]Transfer History'!D192=0,'[2]Transfer History'!D192="GW"&amp;TEAMS!$J$3),"",'[2]Transfer History'!D192)</f>
        <v/>
      </c>
      <c r="E192" t="str">
        <f t="shared" si="8"/>
        <v/>
      </c>
      <c r="F192" t="str">
        <f t="shared" si="9"/>
        <v/>
      </c>
      <c r="G192" t="str">
        <f t="shared" si="10"/>
        <v/>
      </c>
      <c r="H192" t="str">
        <f t="shared" si="11"/>
        <v/>
      </c>
      <c r="J192" s="10" t="str">
        <f>[1]FINAL!B192</f>
        <v>Calvert-Lewin</v>
      </c>
      <c r="K192" t="str">
        <f>[1]FINAL!A192</f>
        <v>Dominic Calvert-Lewin</v>
      </c>
    </row>
    <row r="193" spans="1:11" x14ac:dyDescent="0.3">
      <c r="A193" t="str">
        <f>IF('[2]Transfer History'!A193=0,"",'[2]Transfer History'!A193)</f>
        <v/>
      </c>
      <c r="B193" t="str">
        <f>IF('[2]Transfer History'!B193=0,"",'[2]Transfer History'!B193)</f>
        <v/>
      </c>
      <c r="C193" t="str">
        <f>IF('[2]Transfer History'!C193=0,"",'[2]Transfer History'!C193)</f>
        <v/>
      </c>
      <c r="D193" t="str">
        <f>IF(OR('[2]Transfer History'!D193=0,'[2]Transfer History'!D193="GW"&amp;TEAMS!$J$3),"",'[2]Transfer History'!D193)</f>
        <v/>
      </c>
      <c r="E193" t="str">
        <f t="shared" si="8"/>
        <v/>
      </c>
      <c r="F193" t="str">
        <f t="shared" si="9"/>
        <v/>
      </c>
      <c r="G193" t="str">
        <f t="shared" si="10"/>
        <v/>
      </c>
      <c r="H193" t="str">
        <f t="shared" si="11"/>
        <v/>
      </c>
      <c r="J193" s="10" t="str">
        <f>[1]FINAL!B193</f>
        <v>Ward</v>
      </c>
      <c r="K193" t="str">
        <f>[1]FINAL!A193</f>
        <v>Joel Ward</v>
      </c>
    </row>
    <row r="194" spans="1:11" x14ac:dyDescent="0.3">
      <c r="A194" t="str">
        <f>IF('[2]Transfer History'!A194=0,"",'[2]Transfer History'!A194)</f>
        <v/>
      </c>
      <c r="B194" t="str">
        <f>IF('[2]Transfer History'!B194=0,"",'[2]Transfer History'!B194)</f>
        <v/>
      </c>
      <c r="C194" t="str">
        <f>IF('[2]Transfer History'!C194=0,"",'[2]Transfer History'!C194)</f>
        <v/>
      </c>
      <c r="D194" t="str">
        <f>IF(OR('[2]Transfer History'!D194=0,'[2]Transfer History'!D194="GW"&amp;TEAMS!$J$3),"",'[2]Transfer History'!D194)</f>
        <v/>
      </c>
      <c r="E194" t="str">
        <f t="shared" si="8"/>
        <v/>
      </c>
      <c r="F194" t="str">
        <f t="shared" si="9"/>
        <v/>
      </c>
      <c r="G194" t="str">
        <f t="shared" si="10"/>
        <v/>
      </c>
      <c r="H194" t="str">
        <f t="shared" si="11"/>
        <v/>
      </c>
      <c r="J194" s="10" t="str">
        <f>[1]FINAL!B194</f>
        <v>Lallana</v>
      </c>
      <c r="K194" t="str">
        <f>[1]FINAL!A194</f>
        <v>Adam Lallana</v>
      </c>
    </row>
    <row r="195" spans="1:11" x14ac:dyDescent="0.3">
      <c r="A195" t="str">
        <f>IF('[2]Transfer History'!A195=0,"",'[2]Transfer History'!A195)</f>
        <v/>
      </c>
      <c r="B195" t="str">
        <f>IF('[2]Transfer History'!B195=0,"",'[2]Transfer History'!B195)</f>
        <v/>
      </c>
      <c r="C195" t="str">
        <f>IF('[2]Transfer History'!C195=0,"",'[2]Transfer History'!C195)</f>
        <v/>
      </c>
      <c r="D195" t="str">
        <f>IF(OR('[2]Transfer History'!D195=0,'[2]Transfer History'!D195="GW"&amp;TEAMS!$J$3),"",'[2]Transfer History'!D195)</f>
        <v/>
      </c>
      <c r="E195" t="str">
        <f t="shared" ref="E195:E258" si="12">IFERROR(VLOOKUP(C195,$J:$K,MATCH("Player Name",$J$1:$K$1,0),0),"")</f>
        <v/>
      </c>
      <c r="F195" t="str">
        <f t="shared" ref="F195:F258" si="13">D195&amp;E195</f>
        <v/>
      </c>
      <c r="G195" t="str">
        <f t="shared" ref="G195:G258" si="14">IFERROR(VLOOKUP(B195,$J:$K,MATCH("Player Name",$J$1:$K$1,0),0),"")</f>
        <v/>
      </c>
      <c r="H195" t="str">
        <f t="shared" ref="H195:H258" si="15">E195</f>
        <v/>
      </c>
      <c r="J195" s="10" t="str">
        <f>[1]FINAL!B195</f>
        <v>Chukwuemeka</v>
      </c>
      <c r="K195" t="str">
        <f>[1]FINAL!A195</f>
        <v>Carney Chukwuemeka</v>
      </c>
    </row>
    <row r="196" spans="1:11" x14ac:dyDescent="0.3">
      <c r="A196" t="str">
        <f>IF('[2]Transfer History'!A196=0,"",'[2]Transfer History'!A196)</f>
        <v/>
      </c>
      <c r="B196" t="str">
        <f>IF('[2]Transfer History'!B196=0,"",'[2]Transfer History'!B196)</f>
        <v/>
      </c>
      <c r="C196" t="str">
        <f>IF('[2]Transfer History'!C196=0,"",'[2]Transfer History'!C196)</f>
        <v/>
      </c>
      <c r="D196" t="str">
        <f>IF(OR('[2]Transfer History'!D196=0,'[2]Transfer History'!D196="GW"&amp;TEAMS!$J$3),"",'[2]Transfer History'!D196)</f>
        <v/>
      </c>
      <c r="E196" t="str">
        <f t="shared" si="12"/>
        <v/>
      </c>
      <c r="F196" t="str">
        <f t="shared" si="13"/>
        <v/>
      </c>
      <c r="G196" t="str">
        <f t="shared" si="14"/>
        <v/>
      </c>
      <c r="H196" t="str">
        <f t="shared" si="15"/>
        <v/>
      </c>
      <c r="J196" s="10" t="str">
        <f>[1]FINAL!B196</f>
        <v>Scamacca</v>
      </c>
      <c r="K196" t="str">
        <f>[1]FINAL!A196</f>
        <v>Gianluca Scamacca</v>
      </c>
    </row>
    <row r="197" spans="1:11" x14ac:dyDescent="0.3">
      <c r="A197" t="str">
        <f>IF('[2]Transfer History'!A197=0,"",'[2]Transfer History'!A197)</f>
        <v/>
      </c>
      <c r="B197" t="str">
        <f>IF('[2]Transfer History'!B197=0,"",'[2]Transfer History'!B197)</f>
        <v/>
      </c>
      <c r="C197" t="str">
        <f>IF('[2]Transfer History'!C197=0,"",'[2]Transfer History'!C197)</f>
        <v/>
      </c>
      <c r="D197" t="str">
        <f>IF(OR('[2]Transfer History'!D197=0,'[2]Transfer History'!D197="GW"&amp;TEAMS!$J$3),"",'[2]Transfer History'!D197)</f>
        <v/>
      </c>
      <c r="E197" t="str">
        <f t="shared" si="12"/>
        <v/>
      </c>
      <c r="F197" t="str">
        <f t="shared" si="13"/>
        <v/>
      </c>
      <c r="G197" t="str">
        <f t="shared" si="14"/>
        <v/>
      </c>
      <c r="H197" t="str">
        <f t="shared" si="15"/>
        <v/>
      </c>
      <c r="J197" s="10" t="str">
        <f>[1]FINAL!B197</f>
        <v>Jensen</v>
      </c>
      <c r="K197" t="str">
        <f>[1]FINAL!A197</f>
        <v>Mathias Jensen</v>
      </c>
    </row>
    <row r="198" spans="1:11" x14ac:dyDescent="0.3">
      <c r="A198" t="str">
        <f>IF('[2]Transfer History'!A198=0,"",'[2]Transfer History'!A198)</f>
        <v/>
      </c>
      <c r="B198" t="str">
        <f>IF('[2]Transfer History'!B198=0,"",'[2]Transfer History'!B198)</f>
        <v/>
      </c>
      <c r="C198" t="str">
        <f>IF('[2]Transfer History'!C198=0,"",'[2]Transfer History'!C198)</f>
        <v/>
      </c>
      <c r="D198" t="str">
        <f>IF(OR('[2]Transfer History'!D198=0,'[2]Transfer History'!D198="GW"&amp;TEAMS!$J$3),"",'[2]Transfer History'!D198)</f>
        <v/>
      </c>
      <c r="E198" t="str">
        <f t="shared" si="12"/>
        <v/>
      </c>
      <c r="F198" t="str">
        <f t="shared" si="13"/>
        <v/>
      </c>
      <c r="G198" t="str">
        <f t="shared" si="14"/>
        <v/>
      </c>
      <c r="H198" t="str">
        <f t="shared" si="15"/>
        <v/>
      </c>
      <c r="J198" s="10" t="str">
        <f>[1]FINAL!B198</f>
        <v>Dasilva</v>
      </c>
      <c r="K198" t="str">
        <f>[1]FINAL!A198</f>
        <v>Josh Dasilva</v>
      </c>
    </row>
    <row r="199" spans="1:11" x14ac:dyDescent="0.3">
      <c r="A199" t="str">
        <f>IF('[2]Transfer History'!A199=0,"",'[2]Transfer History'!A199)</f>
        <v/>
      </c>
      <c r="B199" t="str">
        <f>IF('[2]Transfer History'!B199=0,"",'[2]Transfer History'!B199)</f>
        <v/>
      </c>
      <c r="C199" t="str">
        <f>IF('[2]Transfer History'!C199=0,"",'[2]Transfer History'!C199)</f>
        <v/>
      </c>
      <c r="D199" t="str">
        <f>IF(OR('[2]Transfer History'!D199=0,'[2]Transfer History'!D199="GW"&amp;TEAMS!$J$3),"",'[2]Transfer History'!D199)</f>
        <v/>
      </c>
      <c r="E199" t="str">
        <f t="shared" si="12"/>
        <v/>
      </c>
      <c r="F199" t="str">
        <f t="shared" si="13"/>
        <v/>
      </c>
      <c r="G199" t="str">
        <f t="shared" si="14"/>
        <v/>
      </c>
      <c r="H199" t="str">
        <f t="shared" si="15"/>
        <v/>
      </c>
      <c r="J199" s="10" t="str">
        <f>[1]FINAL!B199</f>
        <v>Phillips</v>
      </c>
      <c r="K199" t="str">
        <f>[1]FINAL!A199</f>
        <v>Kalvin Phillips</v>
      </c>
    </row>
    <row r="200" spans="1:11" x14ac:dyDescent="0.3">
      <c r="A200" t="str">
        <f>IF('[2]Transfer History'!A200=0,"",'[2]Transfer History'!A200)</f>
        <v/>
      </c>
      <c r="B200" t="str">
        <f>IF('[2]Transfer History'!B200=0,"",'[2]Transfer History'!B200)</f>
        <v/>
      </c>
      <c r="C200" t="str">
        <f>IF('[2]Transfer History'!C200=0,"",'[2]Transfer History'!C200)</f>
        <v/>
      </c>
      <c r="D200" t="str">
        <f>IF(OR('[2]Transfer History'!D200=0,'[2]Transfer History'!D200="GW"&amp;TEAMS!$J$3),"",'[2]Transfer History'!D200)</f>
        <v/>
      </c>
      <c r="E200" t="str">
        <f t="shared" si="12"/>
        <v/>
      </c>
      <c r="F200" t="str">
        <f t="shared" si="13"/>
        <v/>
      </c>
      <c r="G200" t="str">
        <f t="shared" si="14"/>
        <v/>
      </c>
      <c r="H200" t="str">
        <f t="shared" si="15"/>
        <v/>
      </c>
      <c r="J200" s="10" t="str">
        <f>[1]FINAL!B200</f>
        <v>Sánchez</v>
      </c>
      <c r="K200" t="str">
        <f>[1]FINAL!A200</f>
        <v>Davinson Sánchez</v>
      </c>
    </row>
    <row r="201" spans="1:11" x14ac:dyDescent="0.3">
      <c r="A201" t="str">
        <f>IF('[2]Transfer History'!A201=0,"",'[2]Transfer History'!A201)</f>
        <v/>
      </c>
      <c r="B201" t="str">
        <f>IF('[2]Transfer History'!B201=0,"",'[2]Transfer History'!B201)</f>
        <v/>
      </c>
      <c r="C201" t="str">
        <f>IF('[2]Transfer History'!C201=0,"",'[2]Transfer History'!C201)</f>
        <v/>
      </c>
      <c r="D201" t="str">
        <f>IF(OR('[2]Transfer History'!D201=0,'[2]Transfer History'!D201="GW"&amp;TEAMS!$J$3),"",'[2]Transfer History'!D201)</f>
        <v/>
      </c>
      <c r="E201" t="str">
        <f t="shared" si="12"/>
        <v/>
      </c>
      <c r="F201" t="str">
        <f t="shared" si="13"/>
        <v/>
      </c>
      <c r="G201" t="str">
        <f t="shared" si="14"/>
        <v/>
      </c>
      <c r="H201" t="str">
        <f t="shared" si="15"/>
        <v/>
      </c>
      <c r="J201" s="10" t="str">
        <f>[1]FINAL!B201</f>
        <v>Martinez</v>
      </c>
      <c r="K201" t="str">
        <f>[1]FINAL!A201</f>
        <v>Lisandro Martínez</v>
      </c>
    </row>
    <row r="202" spans="1:11" x14ac:dyDescent="0.3">
      <c r="A202" t="str">
        <f>IF('[2]Transfer History'!A202=0,"",'[2]Transfer History'!A202)</f>
        <v/>
      </c>
      <c r="B202" t="str">
        <f>IF('[2]Transfer History'!B202=0,"",'[2]Transfer History'!B202)</f>
        <v/>
      </c>
      <c r="C202" t="str">
        <f>IF('[2]Transfer History'!C202=0,"",'[2]Transfer History'!C202)</f>
        <v/>
      </c>
      <c r="D202" t="str">
        <f>IF(OR('[2]Transfer History'!D202=0,'[2]Transfer History'!D202="GW"&amp;TEAMS!$J$3),"",'[2]Transfer History'!D202)</f>
        <v/>
      </c>
      <c r="E202" t="str">
        <f t="shared" si="12"/>
        <v/>
      </c>
      <c r="F202" t="str">
        <f t="shared" si="13"/>
        <v/>
      </c>
      <c r="G202" t="str">
        <f t="shared" si="14"/>
        <v/>
      </c>
      <c r="H202" t="str">
        <f t="shared" si="15"/>
        <v/>
      </c>
      <c r="J202" s="10" t="str">
        <f>[1]FINAL!B202</f>
        <v>Coleman</v>
      </c>
      <c r="K202" t="str">
        <f>[1]FINAL!A202</f>
        <v>Seamus Coleman</v>
      </c>
    </row>
    <row r="203" spans="1:11" x14ac:dyDescent="0.3">
      <c r="A203" t="str">
        <f>IF('[2]Transfer History'!A203=0,"",'[2]Transfer History'!A203)</f>
        <v/>
      </c>
      <c r="B203" t="str">
        <f>IF('[2]Transfer History'!B203=0,"",'[2]Transfer History'!B203)</f>
        <v/>
      </c>
      <c r="C203" t="str">
        <f>IF('[2]Transfer History'!C203=0,"",'[2]Transfer History'!C203)</f>
        <v/>
      </c>
      <c r="D203" t="str">
        <f>IF(OR('[2]Transfer History'!D203=0,'[2]Transfer History'!D203="GW"&amp;TEAMS!$J$3),"",'[2]Transfer History'!D203)</f>
        <v/>
      </c>
      <c r="E203" t="str">
        <f t="shared" si="12"/>
        <v/>
      </c>
      <c r="F203" t="str">
        <f t="shared" si="13"/>
        <v/>
      </c>
      <c r="G203" t="str">
        <f t="shared" si="14"/>
        <v/>
      </c>
      <c r="H203" t="str">
        <f t="shared" si="15"/>
        <v/>
      </c>
      <c r="J203" s="10" t="str">
        <f>[1]FINAL!B203</f>
        <v>Tielemans</v>
      </c>
      <c r="K203" t="str">
        <f>[1]FINAL!A203</f>
        <v>Youri Tielemans</v>
      </c>
    </row>
    <row r="204" spans="1:11" x14ac:dyDescent="0.3">
      <c r="A204" t="str">
        <f>IF('[2]Transfer History'!A204=0,"",'[2]Transfer History'!A204)</f>
        <v/>
      </c>
      <c r="B204" t="str">
        <f>IF('[2]Transfer History'!B204=0,"",'[2]Transfer History'!B204)</f>
        <v/>
      </c>
      <c r="C204" t="str">
        <f>IF('[2]Transfer History'!C204=0,"",'[2]Transfer History'!C204)</f>
        <v/>
      </c>
      <c r="D204" t="str">
        <f>IF(OR('[2]Transfer History'!D204=0,'[2]Transfer History'!D204="GW"&amp;TEAMS!$J$3),"",'[2]Transfer History'!D204)</f>
        <v/>
      </c>
      <c r="E204" t="str">
        <f t="shared" si="12"/>
        <v/>
      </c>
      <c r="F204" t="str">
        <f t="shared" si="13"/>
        <v/>
      </c>
      <c r="G204" t="str">
        <f t="shared" si="14"/>
        <v/>
      </c>
      <c r="H204" t="str">
        <f t="shared" si="15"/>
        <v/>
      </c>
      <c r="J204" s="10" t="str">
        <f>[1]FINAL!B204</f>
        <v>Konsa</v>
      </c>
      <c r="K204" t="str">
        <f>[1]FINAL!A204</f>
        <v>Ezri Konsa Ngoyo</v>
      </c>
    </row>
    <row r="205" spans="1:11" x14ac:dyDescent="0.3">
      <c r="A205" t="str">
        <f>IF('[2]Transfer History'!A205=0,"",'[2]Transfer History'!A205)</f>
        <v/>
      </c>
      <c r="B205" t="str">
        <f>IF('[2]Transfer History'!B205=0,"",'[2]Transfer History'!B205)</f>
        <v/>
      </c>
      <c r="C205" t="str">
        <f>IF('[2]Transfer History'!C205=0,"",'[2]Transfer History'!C205)</f>
        <v/>
      </c>
      <c r="D205" t="str">
        <f>IF(OR('[2]Transfer History'!D205=0,'[2]Transfer History'!D205="GW"&amp;TEAMS!$J$3),"",'[2]Transfer History'!D205)</f>
        <v/>
      </c>
      <c r="E205" t="str">
        <f t="shared" si="12"/>
        <v/>
      </c>
      <c r="F205" t="str">
        <f t="shared" si="13"/>
        <v/>
      </c>
      <c r="G205" t="str">
        <f t="shared" si="14"/>
        <v/>
      </c>
      <c r="H205" t="str">
        <f t="shared" si="15"/>
        <v/>
      </c>
      <c r="J205" s="10" t="str">
        <f>[1]FINAL!B205</f>
        <v>Dennis</v>
      </c>
      <c r="K205" t="str">
        <f>[1]FINAL!A205</f>
        <v>Emmanuel Dennis</v>
      </c>
    </row>
    <row r="206" spans="1:11" x14ac:dyDescent="0.3">
      <c r="A206" t="str">
        <f>IF('[2]Transfer History'!A206=0,"",'[2]Transfer History'!A206)</f>
        <v/>
      </c>
      <c r="B206" t="str">
        <f>IF('[2]Transfer History'!B206=0,"",'[2]Transfer History'!B206)</f>
        <v/>
      </c>
      <c r="C206" t="str">
        <f>IF('[2]Transfer History'!C206=0,"",'[2]Transfer History'!C206)</f>
        <v/>
      </c>
      <c r="D206" t="str">
        <f>IF(OR('[2]Transfer History'!D206=0,'[2]Transfer History'!D206="GW"&amp;TEAMS!$J$3),"",'[2]Transfer History'!D206)</f>
        <v/>
      </c>
      <c r="E206" t="str">
        <f t="shared" si="12"/>
        <v/>
      </c>
      <c r="F206" t="str">
        <f t="shared" si="13"/>
        <v/>
      </c>
      <c r="G206" t="str">
        <f t="shared" si="14"/>
        <v/>
      </c>
      <c r="H206" t="str">
        <f t="shared" si="15"/>
        <v/>
      </c>
      <c r="J206" s="10" t="str">
        <f>[1]FINAL!B206</f>
        <v>Diop</v>
      </c>
      <c r="K206" t="str">
        <f>[1]FINAL!A206</f>
        <v>Issa Diop</v>
      </c>
    </row>
    <row r="207" spans="1:11" x14ac:dyDescent="0.3">
      <c r="A207" t="str">
        <f>IF('[2]Transfer History'!A207=0,"",'[2]Transfer History'!A207)</f>
        <v/>
      </c>
      <c r="B207" t="str">
        <f>IF('[2]Transfer History'!B207=0,"",'[2]Transfer History'!B207)</f>
        <v/>
      </c>
      <c r="C207" t="str">
        <f>IF('[2]Transfer History'!C207=0,"",'[2]Transfer History'!C207)</f>
        <v/>
      </c>
      <c r="D207" t="str">
        <f>IF(OR('[2]Transfer History'!D207=0,'[2]Transfer History'!D207="GW"&amp;TEAMS!$J$3),"",'[2]Transfer History'!D207)</f>
        <v/>
      </c>
      <c r="E207" t="str">
        <f t="shared" si="12"/>
        <v/>
      </c>
      <c r="F207" t="str">
        <f t="shared" si="13"/>
        <v/>
      </c>
      <c r="G207" t="str">
        <f t="shared" si="14"/>
        <v/>
      </c>
      <c r="H207" t="str">
        <f t="shared" si="15"/>
        <v/>
      </c>
      <c r="J207" s="10" t="str">
        <f>[1]FINAL!B207</f>
        <v>Lewis-Potter</v>
      </c>
      <c r="K207" t="str">
        <f>[1]FINAL!A207</f>
        <v>Keane Lewis-Potter</v>
      </c>
    </row>
    <row r="208" spans="1:11" x14ac:dyDescent="0.3">
      <c r="A208" t="str">
        <f>IF('[2]Transfer History'!A208=0,"",'[2]Transfer History'!A208)</f>
        <v/>
      </c>
      <c r="B208" t="str">
        <f>IF('[2]Transfer History'!B208=0,"",'[2]Transfer History'!B208)</f>
        <v/>
      </c>
      <c r="C208" t="str">
        <f>IF('[2]Transfer History'!C208=0,"",'[2]Transfer History'!C208)</f>
        <v/>
      </c>
      <c r="D208" t="str">
        <f>IF(OR('[2]Transfer History'!D208=0,'[2]Transfer History'!D208="GW"&amp;TEAMS!$J$3),"",'[2]Transfer History'!D208)</f>
        <v/>
      </c>
      <c r="E208" t="str">
        <f t="shared" si="12"/>
        <v/>
      </c>
      <c r="F208" t="str">
        <f t="shared" si="13"/>
        <v/>
      </c>
      <c r="G208" t="str">
        <f t="shared" si="14"/>
        <v/>
      </c>
      <c r="H208" t="str">
        <f t="shared" si="15"/>
        <v/>
      </c>
      <c r="J208" s="10" t="str">
        <f>[1]FINAL!B208</f>
        <v>Rice</v>
      </c>
      <c r="K208" t="str">
        <f>[1]FINAL!A208</f>
        <v>Declan Rice</v>
      </c>
    </row>
    <row r="209" spans="1:11" x14ac:dyDescent="0.3">
      <c r="A209" t="str">
        <f>IF('[2]Transfer History'!A209=0,"",'[2]Transfer History'!A209)</f>
        <v/>
      </c>
      <c r="B209" t="str">
        <f>IF('[2]Transfer History'!B209=0,"",'[2]Transfer History'!B209)</f>
        <v/>
      </c>
      <c r="C209" t="str">
        <f>IF('[2]Transfer History'!C209=0,"",'[2]Transfer History'!C209)</f>
        <v/>
      </c>
      <c r="D209" t="str">
        <f>IF(OR('[2]Transfer History'!D209=0,'[2]Transfer History'!D209="GW"&amp;TEAMS!$J$3),"",'[2]Transfer History'!D209)</f>
        <v/>
      </c>
      <c r="E209" t="str">
        <f t="shared" si="12"/>
        <v/>
      </c>
      <c r="F209" t="str">
        <f t="shared" si="13"/>
        <v/>
      </c>
      <c r="G209" t="str">
        <f t="shared" si="14"/>
        <v/>
      </c>
      <c r="H209" t="str">
        <f t="shared" si="15"/>
        <v/>
      </c>
      <c r="J209" s="10" t="str">
        <f>[1]FINAL!B209</f>
        <v>Lamptey</v>
      </c>
      <c r="K209" t="str">
        <f>[1]FINAL!A209</f>
        <v>Tariq Lamptey</v>
      </c>
    </row>
    <row r="210" spans="1:11" x14ac:dyDescent="0.3">
      <c r="A210" t="str">
        <f>IF('[2]Transfer History'!A210=0,"",'[2]Transfer History'!A210)</f>
        <v/>
      </c>
      <c r="B210" t="str">
        <f>IF('[2]Transfer History'!B210=0,"",'[2]Transfer History'!B210)</f>
        <v/>
      </c>
      <c r="C210" t="str">
        <f>IF('[2]Transfer History'!C210=0,"",'[2]Transfer History'!C210)</f>
        <v/>
      </c>
      <c r="D210" t="str">
        <f>IF(OR('[2]Transfer History'!D210=0,'[2]Transfer History'!D210="GW"&amp;TEAMS!$J$3),"",'[2]Transfer History'!D210)</f>
        <v/>
      </c>
      <c r="E210" t="str">
        <f t="shared" si="12"/>
        <v/>
      </c>
      <c r="F210" t="str">
        <f t="shared" si="13"/>
        <v/>
      </c>
      <c r="G210" t="str">
        <f t="shared" si="14"/>
        <v/>
      </c>
      <c r="H210" t="str">
        <f t="shared" si="15"/>
        <v/>
      </c>
      <c r="J210" s="10" t="str">
        <f>[1]FINAL!B210</f>
        <v>Nørgaard</v>
      </c>
      <c r="K210" t="str">
        <f>[1]FINAL!A210</f>
        <v>Christian Nørgaard</v>
      </c>
    </row>
    <row r="211" spans="1:11" x14ac:dyDescent="0.3">
      <c r="A211" t="str">
        <f>IF('[2]Transfer History'!A211=0,"",'[2]Transfer History'!A211)</f>
        <v/>
      </c>
      <c r="B211" t="str">
        <f>IF('[2]Transfer History'!B211=0,"",'[2]Transfer History'!B211)</f>
        <v/>
      </c>
      <c r="C211" t="str">
        <f>IF('[2]Transfer History'!C211=0,"",'[2]Transfer History'!C211)</f>
        <v/>
      </c>
      <c r="D211" t="str">
        <f>IF(OR('[2]Transfer History'!D211=0,'[2]Transfer History'!D211="GW"&amp;TEAMS!$J$3),"",'[2]Transfer History'!D211)</f>
        <v/>
      </c>
      <c r="E211" t="str">
        <f t="shared" si="12"/>
        <v/>
      </c>
      <c r="F211" t="str">
        <f t="shared" si="13"/>
        <v/>
      </c>
      <c r="G211" t="str">
        <f t="shared" si="14"/>
        <v/>
      </c>
      <c r="H211" t="str">
        <f t="shared" si="15"/>
        <v/>
      </c>
      <c r="J211" s="10" t="str">
        <f>[1]FINAL!B211</f>
        <v>Mitchell</v>
      </c>
      <c r="K211" t="str">
        <f>[1]FINAL!A211</f>
        <v>Tyrick Mitchell</v>
      </c>
    </row>
    <row r="212" spans="1:11" x14ac:dyDescent="0.3">
      <c r="A212" t="str">
        <f>IF('[2]Transfer History'!A212=0,"",'[2]Transfer History'!A212)</f>
        <v/>
      </c>
      <c r="B212" t="str">
        <f>IF('[2]Transfer History'!B212=0,"",'[2]Transfer History'!B212)</f>
        <v/>
      </c>
      <c r="C212" t="str">
        <f>IF('[2]Transfer History'!C212=0,"",'[2]Transfer History'!C212)</f>
        <v/>
      </c>
      <c r="D212" t="str">
        <f>IF(OR('[2]Transfer History'!D212=0,'[2]Transfer History'!D212="GW"&amp;TEAMS!$J$3),"",'[2]Transfer History'!D212)</f>
        <v/>
      </c>
      <c r="E212" t="str">
        <f t="shared" si="12"/>
        <v/>
      </c>
      <c r="F212" t="str">
        <f t="shared" si="13"/>
        <v/>
      </c>
      <c r="G212" t="str">
        <f t="shared" si="14"/>
        <v/>
      </c>
      <c r="H212" t="str">
        <f t="shared" si="15"/>
        <v/>
      </c>
      <c r="J212" s="10" t="str">
        <f>[1]FINAL!B212</f>
        <v>Digne</v>
      </c>
      <c r="K212" t="str">
        <f>[1]FINAL!A212</f>
        <v>Lucas Digne</v>
      </c>
    </row>
    <row r="213" spans="1:11" x14ac:dyDescent="0.3">
      <c r="A213" t="str">
        <f>IF('[2]Transfer History'!A213=0,"",'[2]Transfer History'!A213)</f>
        <v/>
      </c>
      <c r="B213" t="str">
        <f>IF('[2]Transfer History'!B213=0,"",'[2]Transfer History'!B213)</f>
        <v/>
      </c>
      <c r="C213" t="str">
        <f>IF('[2]Transfer History'!C213=0,"",'[2]Transfer History'!C213)</f>
        <v/>
      </c>
      <c r="D213" t="str">
        <f>IF(OR('[2]Transfer History'!D213=0,'[2]Transfer History'!D213="GW"&amp;TEAMS!$J$3),"",'[2]Transfer History'!D213)</f>
        <v/>
      </c>
      <c r="E213" t="str">
        <f t="shared" si="12"/>
        <v/>
      </c>
      <c r="F213" t="str">
        <f t="shared" si="13"/>
        <v/>
      </c>
      <c r="G213" t="str">
        <f t="shared" si="14"/>
        <v/>
      </c>
      <c r="H213" t="str">
        <f t="shared" si="15"/>
        <v/>
      </c>
      <c r="J213" s="10" t="str">
        <f>[1]FINAL!B213</f>
        <v>Mudryk</v>
      </c>
      <c r="K213" t="str">
        <f>[1]FINAL!A213</f>
        <v>Mykhailo Mudryk</v>
      </c>
    </row>
    <row r="214" spans="1:11" x14ac:dyDescent="0.3">
      <c r="A214" t="str">
        <f>IF('[2]Transfer History'!A214=0,"",'[2]Transfer History'!A214)</f>
        <v/>
      </c>
      <c r="B214" t="str">
        <f>IF('[2]Transfer History'!B214=0,"",'[2]Transfer History'!B214)</f>
        <v/>
      </c>
      <c r="C214" t="str">
        <f>IF('[2]Transfer History'!C214=0,"",'[2]Transfer History'!C214)</f>
        <v/>
      </c>
      <c r="D214" t="str">
        <f>IF(OR('[2]Transfer History'!D214=0,'[2]Transfer History'!D214="GW"&amp;TEAMS!$J$3),"",'[2]Transfer History'!D214)</f>
        <v/>
      </c>
      <c r="E214" t="str">
        <f t="shared" si="12"/>
        <v/>
      </c>
      <c r="F214" t="str">
        <f t="shared" si="13"/>
        <v/>
      </c>
      <c r="G214" t="str">
        <f t="shared" si="14"/>
        <v/>
      </c>
      <c r="H214" t="str">
        <f t="shared" si="15"/>
        <v/>
      </c>
      <c r="J214" s="10" t="str">
        <f>[1]FINAL!B214</f>
        <v>Kilman</v>
      </c>
      <c r="K214" t="str">
        <f>[1]FINAL!A214</f>
        <v>Max Kilman</v>
      </c>
    </row>
    <row r="215" spans="1:11" x14ac:dyDescent="0.3">
      <c r="A215" t="str">
        <f>IF('[2]Transfer History'!A215=0,"",'[2]Transfer History'!A215)</f>
        <v/>
      </c>
      <c r="B215" t="str">
        <f>IF('[2]Transfer History'!B215=0,"",'[2]Transfer History'!B215)</f>
        <v/>
      </c>
      <c r="C215" t="str">
        <f>IF('[2]Transfer History'!C215=0,"",'[2]Transfer History'!C215)</f>
        <v/>
      </c>
      <c r="D215" t="str">
        <f>IF(OR('[2]Transfer History'!D215=0,'[2]Transfer History'!D215="GW"&amp;TEAMS!$J$3),"",'[2]Transfer History'!D215)</f>
        <v/>
      </c>
      <c r="E215" t="str">
        <f t="shared" si="12"/>
        <v/>
      </c>
      <c r="F215" t="str">
        <f t="shared" si="13"/>
        <v/>
      </c>
      <c r="G215" t="str">
        <f t="shared" si="14"/>
        <v/>
      </c>
      <c r="H215" t="str">
        <f t="shared" si="15"/>
        <v/>
      </c>
      <c r="J215" s="10" t="str">
        <f>[1]FINAL!B215</f>
        <v>Højbjerg</v>
      </c>
      <c r="K215" t="str">
        <f>[1]FINAL!A215</f>
        <v>Pierre-Emile Højbjerg</v>
      </c>
    </row>
    <row r="216" spans="1:11" x14ac:dyDescent="0.3">
      <c r="A216" t="str">
        <f>IF('[2]Transfer History'!A216=0,"",'[2]Transfer History'!A216)</f>
        <v/>
      </c>
      <c r="B216" t="str">
        <f>IF('[2]Transfer History'!B216=0,"",'[2]Transfer History'!B216)</f>
        <v/>
      </c>
      <c r="C216" t="str">
        <f>IF('[2]Transfer History'!C216=0,"",'[2]Transfer History'!C216)</f>
        <v/>
      </c>
      <c r="D216" t="str">
        <f>IF(OR('[2]Transfer History'!D216=0,'[2]Transfer History'!D216="GW"&amp;TEAMS!$J$3),"",'[2]Transfer History'!D216)</f>
        <v/>
      </c>
      <c r="E216" t="str">
        <f t="shared" si="12"/>
        <v/>
      </c>
      <c r="F216" t="str">
        <f t="shared" si="13"/>
        <v/>
      </c>
      <c r="G216" t="str">
        <f t="shared" si="14"/>
        <v/>
      </c>
      <c r="H216" t="str">
        <f t="shared" si="15"/>
        <v/>
      </c>
      <c r="J216" s="10" t="str">
        <f>[1]FINAL!B216</f>
        <v>Azpilicueta</v>
      </c>
      <c r="K216" t="str">
        <f>[1]FINAL!A216</f>
        <v>César Azpilicueta</v>
      </c>
    </row>
    <row r="217" spans="1:11" x14ac:dyDescent="0.3">
      <c r="A217" t="str">
        <f>IF('[2]Transfer History'!A217=0,"",'[2]Transfer History'!A217)</f>
        <v/>
      </c>
      <c r="B217" t="str">
        <f>IF('[2]Transfer History'!B217=0,"",'[2]Transfer History'!B217)</f>
        <v/>
      </c>
      <c r="C217" t="str">
        <f>IF('[2]Transfer History'!C217=0,"",'[2]Transfer History'!C217)</f>
        <v/>
      </c>
      <c r="D217" t="str">
        <f>IF(OR('[2]Transfer History'!D217=0,'[2]Transfer History'!D217="GW"&amp;TEAMS!$J$3),"",'[2]Transfer History'!D217)</f>
        <v/>
      </c>
      <c r="E217" t="str">
        <f t="shared" si="12"/>
        <v/>
      </c>
      <c r="F217" t="str">
        <f t="shared" si="13"/>
        <v/>
      </c>
      <c r="G217" t="str">
        <f t="shared" si="14"/>
        <v/>
      </c>
      <c r="H217" t="str">
        <f t="shared" si="15"/>
        <v/>
      </c>
      <c r="J217" s="10" t="str">
        <f>[1]FINAL!B217</f>
        <v>Dawson</v>
      </c>
      <c r="K217" t="str">
        <f>[1]FINAL!A217</f>
        <v>Craig Dawson</v>
      </c>
    </row>
    <row r="218" spans="1:11" x14ac:dyDescent="0.3">
      <c r="A218" t="str">
        <f>IF('[2]Transfer History'!A218=0,"",'[2]Transfer History'!A218)</f>
        <v/>
      </c>
      <c r="B218" t="str">
        <f>IF('[2]Transfer History'!B218=0,"",'[2]Transfer History'!B218)</f>
        <v/>
      </c>
      <c r="C218" t="str">
        <f>IF('[2]Transfer History'!C218=0,"",'[2]Transfer History'!C218)</f>
        <v/>
      </c>
      <c r="D218" t="str">
        <f>IF(OR('[2]Transfer History'!D218=0,'[2]Transfer History'!D218="GW"&amp;TEAMS!$J$3),"",'[2]Transfer History'!D218)</f>
        <v/>
      </c>
      <c r="E218" t="str">
        <f t="shared" si="12"/>
        <v/>
      </c>
      <c r="F218" t="str">
        <f t="shared" si="13"/>
        <v/>
      </c>
      <c r="G218" t="str">
        <f t="shared" si="14"/>
        <v/>
      </c>
      <c r="H218" t="str">
        <f t="shared" si="15"/>
        <v/>
      </c>
      <c r="J218" s="10" t="str">
        <f>[1]FINAL!B218</f>
        <v>M.Elneny</v>
      </c>
      <c r="K218" t="str">
        <f>[1]FINAL!A218</f>
        <v>Mohamed Elneny</v>
      </c>
    </row>
    <row r="219" spans="1:11" x14ac:dyDescent="0.3">
      <c r="A219" t="str">
        <f>IF('[2]Transfer History'!A219=0,"",'[2]Transfer History'!A219)</f>
        <v/>
      </c>
      <c r="B219" t="str">
        <f>IF('[2]Transfer History'!B219=0,"",'[2]Transfer History'!B219)</f>
        <v/>
      </c>
      <c r="C219" t="str">
        <f>IF('[2]Transfer History'!C219=0,"",'[2]Transfer History'!C219)</f>
        <v/>
      </c>
      <c r="D219" t="str">
        <f>IF(OR('[2]Transfer History'!D219=0,'[2]Transfer History'!D219="GW"&amp;TEAMS!$J$3),"",'[2]Transfer History'!D219)</f>
        <v/>
      </c>
      <c r="E219" t="str">
        <f t="shared" si="12"/>
        <v/>
      </c>
      <c r="F219" t="str">
        <f t="shared" si="13"/>
        <v/>
      </c>
      <c r="G219" t="str">
        <f t="shared" si="14"/>
        <v/>
      </c>
      <c r="H219" t="str">
        <f t="shared" si="15"/>
        <v/>
      </c>
      <c r="J219" s="10" t="str">
        <f>[1]FINAL!B219</f>
        <v>Elanga</v>
      </c>
      <c r="K219" t="str">
        <f>[1]FINAL!A219</f>
        <v>Anthony Elanga</v>
      </c>
    </row>
    <row r="220" spans="1:11" x14ac:dyDescent="0.3">
      <c r="A220" t="str">
        <f>IF('[2]Transfer History'!A220=0,"",'[2]Transfer History'!A220)</f>
        <v/>
      </c>
      <c r="B220" t="str">
        <f>IF('[2]Transfer History'!B220=0,"",'[2]Transfer History'!B220)</f>
        <v/>
      </c>
      <c r="C220" t="str">
        <f>IF('[2]Transfer History'!C220=0,"",'[2]Transfer History'!C220)</f>
        <v/>
      </c>
      <c r="D220" t="str">
        <f>IF(OR('[2]Transfer History'!D220=0,'[2]Transfer History'!D220="GW"&amp;TEAMS!$J$3),"",'[2]Transfer History'!D220)</f>
        <v/>
      </c>
      <c r="E220" t="str">
        <f t="shared" si="12"/>
        <v/>
      </c>
      <c r="F220" t="str">
        <f t="shared" si="13"/>
        <v/>
      </c>
      <c r="G220" t="str">
        <f t="shared" si="14"/>
        <v/>
      </c>
      <c r="H220" t="str">
        <f t="shared" si="15"/>
        <v/>
      </c>
      <c r="J220" s="10" t="str">
        <f>[1]FINAL!B220</f>
        <v>Cucurella</v>
      </c>
      <c r="K220" t="str">
        <f>[1]FINAL!A220</f>
        <v>Marc Cucurella Saseta</v>
      </c>
    </row>
    <row r="221" spans="1:11" x14ac:dyDescent="0.3">
      <c r="A221" t="str">
        <f>IF('[2]Transfer History'!A221=0,"",'[2]Transfer History'!A221)</f>
        <v/>
      </c>
      <c r="B221" t="str">
        <f>IF('[2]Transfer History'!B221=0,"",'[2]Transfer History'!B221)</f>
        <v/>
      </c>
      <c r="C221" t="str">
        <f>IF('[2]Transfer History'!C221=0,"",'[2]Transfer History'!C221)</f>
        <v/>
      </c>
      <c r="D221" t="str">
        <f>IF(OR('[2]Transfer History'!D221=0,'[2]Transfer History'!D221="GW"&amp;TEAMS!$J$3),"",'[2]Transfer History'!D221)</f>
        <v/>
      </c>
      <c r="E221" t="str">
        <f t="shared" si="12"/>
        <v/>
      </c>
      <c r="F221" t="str">
        <f t="shared" si="13"/>
        <v/>
      </c>
      <c r="G221" t="str">
        <f t="shared" si="14"/>
        <v/>
      </c>
      <c r="H221" t="str">
        <f t="shared" si="15"/>
        <v/>
      </c>
      <c r="J221" s="10" t="str">
        <f>[1]FINAL!B221</f>
        <v>Pickford</v>
      </c>
      <c r="K221" t="str">
        <f>[1]FINAL!A221</f>
        <v>Jordan Pickford</v>
      </c>
    </row>
    <row r="222" spans="1:11" x14ac:dyDescent="0.3">
      <c r="A222" t="str">
        <f>IF('[2]Transfer History'!A222=0,"",'[2]Transfer History'!A222)</f>
        <v/>
      </c>
      <c r="B222" t="str">
        <f>IF('[2]Transfer History'!B222=0,"",'[2]Transfer History'!B222)</f>
        <v/>
      </c>
      <c r="C222" t="str">
        <f>IF('[2]Transfer History'!C222=0,"",'[2]Transfer History'!C222)</f>
        <v/>
      </c>
      <c r="D222" t="str">
        <f>IF(OR('[2]Transfer History'!D222=0,'[2]Transfer History'!D222="GW"&amp;TEAMS!$J$3),"",'[2]Transfer History'!D222)</f>
        <v/>
      </c>
      <c r="E222" t="str">
        <f t="shared" si="12"/>
        <v/>
      </c>
      <c r="F222" t="str">
        <f t="shared" si="13"/>
        <v/>
      </c>
      <c r="G222" t="str">
        <f t="shared" si="14"/>
        <v/>
      </c>
      <c r="H222" t="str">
        <f t="shared" si="15"/>
        <v/>
      </c>
      <c r="J222" s="10" t="str">
        <f>[1]FINAL!B222</f>
        <v>J.Ayew</v>
      </c>
      <c r="K222" t="str">
        <f>[1]FINAL!A222</f>
        <v>Jordan Ayew</v>
      </c>
    </row>
    <row r="223" spans="1:11" x14ac:dyDescent="0.3">
      <c r="A223" t="str">
        <f>IF('[2]Transfer History'!A223=0,"",'[2]Transfer History'!A223)</f>
        <v/>
      </c>
      <c r="B223" t="str">
        <f>IF('[2]Transfer History'!B223=0,"",'[2]Transfer History'!B223)</f>
        <v/>
      </c>
      <c r="C223" t="str">
        <f>IF('[2]Transfer History'!C223=0,"",'[2]Transfer History'!C223)</f>
        <v/>
      </c>
      <c r="D223" t="str">
        <f>IF(OR('[2]Transfer History'!D223=0,'[2]Transfer History'!D223="GW"&amp;TEAMS!$J$3),"",'[2]Transfer History'!D223)</f>
        <v/>
      </c>
      <c r="E223" t="str">
        <f t="shared" si="12"/>
        <v/>
      </c>
      <c r="F223" t="str">
        <f t="shared" si="13"/>
        <v/>
      </c>
      <c r="G223" t="str">
        <f t="shared" si="14"/>
        <v/>
      </c>
      <c r="H223" t="str">
        <f t="shared" si="15"/>
        <v/>
      </c>
      <c r="J223" s="10" t="str">
        <f>[1]FINAL!B223</f>
        <v>Elliott</v>
      </c>
      <c r="K223" t="str">
        <f>[1]FINAL!A223</f>
        <v>Harvey Elliott</v>
      </c>
    </row>
    <row r="224" spans="1:11" x14ac:dyDescent="0.3">
      <c r="A224" t="str">
        <f>IF('[2]Transfer History'!A224=0,"",'[2]Transfer History'!A224)</f>
        <v/>
      </c>
      <c r="B224" t="str">
        <f>IF('[2]Transfer History'!B224=0,"",'[2]Transfer History'!B224)</f>
        <v/>
      </c>
      <c r="C224" t="str">
        <f>IF('[2]Transfer History'!C224=0,"",'[2]Transfer History'!C224)</f>
        <v/>
      </c>
      <c r="D224" t="str">
        <f>IF(OR('[2]Transfer History'!D224=0,'[2]Transfer History'!D224="GW"&amp;TEAMS!$J$3),"",'[2]Transfer History'!D224)</f>
        <v/>
      </c>
      <c r="E224" t="str">
        <f t="shared" si="12"/>
        <v/>
      </c>
      <c r="F224" t="str">
        <f t="shared" si="13"/>
        <v/>
      </c>
      <c r="G224" t="str">
        <f t="shared" si="14"/>
        <v/>
      </c>
      <c r="H224" t="str">
        <f t="shared" si="15"/>
        <v/>
      </c>
      <c r="J224" s="10" t="str">
        <f>[1]FINAL!B224</f>
        <v>Andersen</v>
      </c>
      <c r="K224" t="str">
        <f>[1]FINAL!A224</f>
        <v>Joachim Andersen</v>
      </c>
    </row>
    <row r="225" spans="1:11" x14ac:dyDescent="0.3">
      <c r="A225" t="str">
        <f>IF('[2]Transfer History'!A225=0,"",'[2]Transfer History'!A225)</f>
        <v/>
      </c>
      <c r="B225" t="str">
        <f>IF('[2]Transfer History'!B225=0,"",'[2]Transfer History'!B225)</f>
        <v/>
      </c>
      <c r="C225" t="str">
        <f>IF('[2]Transfer History'!C225=0,"",'[2]Transfer History'!C225)</f>
        <v/>
      </c>
      <c r="D225" t="str">
        <f>IF(OR('[2]Transfer History'!D225=0,'[2]Transfer History'!D225="GW"&amp;TEAMS!$J$3),"",'[2]Transfer History'!D225)</f>
        <v/>
      </c>
      <c r="E225" t="str">
        <f t="shared" si="12"/>
        <v/>
      </c>
      <c r="F225" t="str">
        <f t="shared" si="13"/>
        <v/>
      </c>
      <c r="G225" t="str">
        <f t="shared" si="14"/>
        <v/>
      </c>
      <c r="H225" t="str">
        <f t="shared" si="15"/>
        <v/>
      </c>
      <c r="J225" s="10" t="str">
        <f>[1]FINAL!B225</f>
        <v>Konaté</v>
      </c>
      <c r="K225" t="str">
        <f>[1]FINAL!A225</f>
        <v>Ibrahima Konaté</v>
      </c>
    </row>
    <row r="226" spans="1:11" x14ac:dyDescent="0.3">
      <c r="A226" t="str">
        <f>IF('[2]Transfer History'!A226=0,"",'[2]Transfer History'!A226)</f>
        <v/>
      </c>
      <c r="B226" t="str">
        <f>IF('[2]Transfer History'!B226=0,"",'[2]Transfer History'!B226)</f>
        <v/>
      </c>
      <c r="C226" t="str">
        <f>IF('[2]Transfer History'!C226=0,"",'[2]Transfer History'!C226)</f>
        <v/>
      </c>
      <c r="D226" t="str">
        <f>IF(OR('[2]Transfer History'!D226=0,'[2]Transfer History'!D226="GW"&amp;TEAMS!$J$3),"",'[2]Transfer History'!D226)</f>
        <v/>
      </c>
      <c r="E226" t="str">
        <f t="shared" si="12"/>
        <v/>
      </c>
      <c r="F226" t="str">
        <f t="shared" si="13"/>
        <v/>
      </c>
      <c r="G226" t="str">
        <f t="shared" si="14"/>
        <v/>
      </c>
      <c r="H226" t="str">
        <f t="shared" si="15"/>
        <v/>
      </c>
      <c r="J226" s="10" t="str">
        <f>[1]FINAL!B226</f>
        <v>Aït-Nouri</v>
      </c>
      <c r="K226" t="str">
        <f>[1]FINAL!A226</f>
        <v>Rayan Aït-Nouri</v>
      </c>
    </row>
    <row r="227" spans="1:11" x14ac:dyDescent="0.3">
      <c r="A227" t="str">
        <f>IF('[2]Transfer History'!A227=0,"",'[2]Transfer History'!A227)</f>
        <v/>
      </c>
      <c r="B227" t="str">
        <f>IF('[2]Transfer History'!B227=0,"",'[2]Transfer History'!B227)</f>
        <v/>
      </c>
      <c r="C227" t="str">
        <f>IF('[2]Transfer History'!C227=0,"",'[2]Transfer History'!C227)</f>
        <v/>
      </c>
      <c r="D227" t="str">
        <f>IF(OR('[2]Transfer History'!D227=0,'[2]Transfer History'!D227="GW"&amp;TEAMS!$J$3),"",'[2]Transfer History'!D227)</f>
        <v/>
      </c>
      <c r="E227" t="str">
        <f t="shared" si="12"/>
        <v/>
      </c>
      <c r="F227" t="str">
        <f t="shared" si="13"/>
        <v/>
      </c>
      <c r="G227" t="str">
        <f t="shared" si="14"/>
        <v/>
      </c>
      <c r="H227" t="str">
        <f t="shared" si="15"/>
        <v/>
      </c>
      <c r="J227" s="10" t="str">
        <f>[1]FINAL!B227</f>
        <v>Ajer</v>
      </c>
      <c r="K227" t="str">
        <f>[1]FINAL!A227</f>
        <v>Kristoffer Ajer</v>
      </c>
    </row>
    <row r="228" spans="1:11" x14ac:dyDescent="0.3">
      <c r="A228" t="str">
        <f>IF('[2]Transfer History'!A228=0,"",'[2]Transfer History'!A228)</f>
        <v/>
      </c>
      <c r="B228" t="str">
        <f>IF('[2]Transfer History'!B228=0,"",'[2]Transfer History'!B228)</f>
        <v/>
      </c>
      <c r="C228" t="str">
        <f>IF('[2]Transfer History'!C228=0,"",'[2]Transfer History'!C228)</f>
        <v/>
      </c>
      <c r="D228" t="str">
        <f>IF(OR('[2]Transfer History'!D228=0,'[2]Transfer History'!D228="GW"&amp;TEAMS!$J$3),"",'[2]Transfer History'!D228)</f>
        <v/>
      </c>
      <c r="E228" t="str">
        <f t="shared" si="12"/>
        <v/>
      </c>
      <c r="F228" t="str">
        <f t="shared" si="13"/>
        <v/>
      </c>
      <c r="G228" t="str">
        <f t="shared" si="14"/>
        <v/>
      </c>
      <c r="H228" t="str">
        <f t="shared" si="15"/>
        <v/>
      </c>
      <c r="J228" s="10" t="str">
        <f>[1]FINAL!B228</f>
        <v>Johnson</v>
      </c>
      <c r="K228" t="str">
        <f>[1]FINAL!A228</f>
        <v>Ben Johnson</v>
      </c>
    </row>
    <row r="229" spans="1:11" x14ac:dyDescent="0.3">
      <c r="A229" t="str">
        <f>IF('[2]Transfer History'!A229=0,"",'[2]Transfer History'!A229)</f>
        <v/>
      </c>
      <c r="B229" t="str">
        <f>IF('[2]Transfer History'!B229=0,"",'[2]Transfer History'!B229)</f>
        <v/>
      </c>
      <c r="C229" t="str">
        <f>IF('[2]Transfer History'!C229=0,"",'[2]Transfer History'!C229)</f>
        <v/>
      </c>
      <c r="D229" t="str">
        <f>IF(OR('[2]Transfer History'!D229=0,'[2]Transfer History'!D229="GW"&amp;TEAMS!$J$3),"",'[2]Transfer History'!D229)</f>
        <v/>
      </c>
      <c r="E229" t="str">
        <f t="shared" si="12"/>
        <v/>
      </c>
      <c r="F229" t="str">
        <f t="shared" si="13"/>
        <v/>
      </c>
      <c r="G229" t="str">
        <f t="shared" si="14"/>
        <v/>
      </c>
      <c r="H229" t="str">
        <f t="shared" si="15"/>
        <v/>
      </c>
      <c r="J229" s="10" t="str">
        <f>[1]FINAL!B229</f>
        <v>Edouard</v>
      </c>
      <c r="K229" t="str">
        <f>[1]FINAL!A229</f>
        <v>Odsonne Edouard</v>
      </c>
    </row>
    <row r="230" spans="1:11" x14ac:dyDescent="0.3">
      <c r="A230" t="str">
        <f>IF('[2]Transfer History'!A230=0,"",'[2]Transfer History'!A230)</f>
        <v/>
      </c>
      <c r="B230" t="str">
        <f>IF('[2]Transfer History'!B230=0,"",'[2]Transfer History'!B230)</f>
        <v/>
      </c>
      <c r="C230" t="str">
        <f>IF('[2]Transfer History'!C230=0,"",'[2]Transfer History'!C230)</f>
        <v/>
      </c>
      <c r="D230" t="str">
        <f>IF(OR('[2]Transfer History'!D230=0,'[2]Transfer History'!D230="GW"&amp;TEAMS!$J$3),"",'[2]Transfer History'!D230)</f>
        <v/>
      </c>
      <c r="E230" t="str">
        <f t="shared" si="12"/>
        <v/>
      </c>
      <c r="F230" t="str">
        <f t="shared" si="13"/>
        <v/>
      </c>
      <c r="G230" t="str">
        <f t="shared" si="14"/>
        <v/>
      </c>
      <c r="H230" t="str">
        <f t="shared" si="15"/>
        <v/>
      </c>
      <c r="J230" s="10" t="str">
        <f>[1]FINAL!B230</f>
        <v>Neto</v>
      </c>
      <c r="K230" t="str">
        <f>[1]FINAL!A230</f>
        <v>Norberto Murara Neto</v>
      </c>
    </row>
    <row r="231" spans="1:11" x14ac:dyDescent="0.3">
      <c r="A231" t="str">
        <f>IF('[2]Transfer History'!A231=0,"",'[2]Transfer History'!A231)</f>
        <v/>
      </c>
      <c r="B231" t="str">
        <f>IF('[2]Transfer History'!B231=0,"",'[2]Transfer History'!B231)</f>
        <v/>
      </c>
      <c r="C231" t="str">
        <f>IF('[2]Transfer History'!C231=0,"",'[2]Transfer History'!C231)</f>
        <v/>
      </c>
      <c r="D231" t="str">
        <f>IF(OR('[2]Transfer History'!D231=0,'[2]Transfer History'!D231="GW"&amp;TEAMS!$J$3),"",'[2]Transfer History'!D231)</f>
        <v/>
      </c>
      <c r="E231" t="str">
        <f t="shared" si="12"/>
        <v/>
      </c>
      <c r="F231" t="str">
        <f t="shared" si="13"/>
        <v/>
      </c>
      <c r="G231" t="str">
        <f t="shared" si="14"/>
        <v/>
      </c>
      <c r="H231" t="str">
        <f t="shared" si="15"/>
        <v/>
      </c>
      <c r="J231" s="10" t="str">
        <f>[1]FINAL!B231</f>
        <v>Chalobah</v>
      </c>
      <c r="K231" t="str">
        <f>[1]FINAL!A231</f>
        <v>Trevoh Chalobah</v>
      </c>
    </row>
    <row r="232" spans="1:11" x14ac:dyDescent="0.3">
      <c r="A232" t="str">
        <f>IF('[2]Transfer History'!A232=0,"",'[2]Transfer History'!A232)</f>
        <v/>
      </c>
      <c r="B232" t="str">
        <f>IF('[2]Transfer History'!B232=0,"",'[2]Transfer History'!B232)</f>
        <v/>
      </c>
      <c r="C232" t="str">
        <f>IF('[2]Transfer History'!C232=0,"",'[2]Transfer History'!C232)</f>
        <v/>
      </c>
      <c r="D232" t="str">
        <f>IF(OR('[2]Transfer History'!D232=0,'[2]Transfer History'!D232="GW"&amp;TEAMS!$J$3),"",'[2]Transfer History'!D232)</f>
        <v/>
      </c>
      <c r="E232" t="str">
        <f t="shared" si="12"/>
        <v/>
      </c>
      <c r="F232" t="str">
        <f t="shared" si="13"/>
        <v/>
      </c>
      <c r="G232" t="str">
        <f t="shared" si="14"/>
        <v/>
      </c>
      <c r="H232" t="str">
        <f t="shared" si="15"/>
        <v/>
      </c>
      <c r="J232" s="10">
        <f>[1]FINAL!B232</f>
        <v>0</v>
      </c>
      <c r="K232" t="str">
        <f>[1]FINAL!A232</f>
        <v>George Baldock</v>
      </c>
    </row>
    <row r="233" spans="1:11" x14ac:dyDescent="0.3">
      <c r="A233" t="str">
        <f>IF('[2]Transfer History'!A233=0,"",'[2]Transfer History'!A233)</f>
        <v/>
      </c>
      <c r="B233" t="str">
        <f>IF('[2]Transfer History'!B233=0,"",'[2]Transfer History'!B233)</f>
        <v/>
      </c>
      <c r="C233" t="str">
        <f>IF('[2]Transfer History'!C233=0,"",'[2]Transfer History'!C233)</f>
        <v/>
      </c>
      <c r="D233" t="str">
        <f>IF(OR('[2]Transfer History'!D233=0,'[2]Transfer History'!D233="GW"&amp;TEAMS!$J$3),"",'[2]Transfer History'!D233)</f>
        <v/>
      </c>
      <c r="E233" t="str">
        <f t="shared" si="12"/>
        <v/>
      </c>
      <c r="F233" t="str">
        <f t="shared" si="13"/>
        <v/>
      </c>
      <c r="G233" t="str">
        <f t="shared" si="14"/>
        <v/>
      </c>
      <c r="H233" t="str">
        <f t="shared" si="15"/>
        <v/>
      </c>
      <c r="J233" s="10" t="str">
        <f>[1]FINAL!B233</f>
        <v>Pulisic</v>
      </c>
      <c r="K233" t="str">
        <f>[1]FINAL!A233</f>
        <v>Christian Pulisic</v>
      </c>
    </row>
    <row r="234" spans="1:11" x14ac:dyDescent="0.3">
      <c r="A234" t="str">
        <f>IF('[2]Transfer History'!A234=0,"",'[2]Transfer History'!A234)</f>
        <v/>
      </c>
      <c r="B234" t="str">
        <f>IF('[2]Transfer History'!B234=0,"",'[2]Transfer History'!B234)</f>
        <v/>
      </c>
      <c r="C234" t="str">
        <f>IF('[2]Transfer History'!C234=0,"",'[2]Transfer History'!C234)</f>
        <v/>
      </c>
      <c r="D234" t="str">
        <f>IF(OR('[2]Transfer History'!D234=0,'[2]Transfer History'!D234="GW"&amp;TEAMS!$J$3),"",'[2]Transfer History'!D234)</f>
        <v/>
      </c>
      <c r="E234" t="str">
        <f t="shared" si="12"/>
        <v/>
      </c>
      <c r="F234" t="str">
        <f t="shared" si="13"/>
        <v/>
      </c>
      <c r="G234" t="str">
        <f t="shared" si="14"/>
        <v/>
      </c>
      <c r="H234" t="str">
        <f t="shared" si="15"/>
        <v/>
      </c>
      <c r="J234" s="10" t="str">
        <f>[1]FINAL!B234</f>
        <v>Chambers</v>
      </c>
      <c r="K234" t="str">
        <f>[1]FINAL!A234</f>
        <v>Calum Chambers</v>
      </c>
    </row>
    <row r="235" spans="1:11" x14ac:dyDescent="0.3">
      <c r="A235" t="str">
        <f>IF('[2]Transfer History'!A235=0,"",'[2]Transfer History'!A235)</f>
        <v/>
      </c>
      <c r="B235" t="str">
        <f>IF('[2]Transfer History'!B235=0,"",'[2]Transfer History'!B235)</f>
        <v/>
      </c>
      <c r="C235" t="str">
        <f>IF('[2]Transfer History'!C235=0,"",'[2]Transfer History'!C235)</f>
        <v/>
      </c>
      <c r="D235" t="str">
        <f>IF(OR('[2]Transfer History'!D235=0,'[2]Transfer History'!D235="GW"&amp;TEAMS!$J$3),"",'[2]Transfer History'!D235)</f>
        <v/>
      </c>
      <c r="E235" t="str">
        <f t="shared" si="12"/>
        <v/>
      </c>
      <c r="F235" t="str">
        <f t="shared" si="13"/>
        <v/>
      </c>
      <c r="G235" t="str">
        <f t="shared" si="14"/>
        <v/>
      </c>
      <c r="H235" t="str">
        <f t="shared" si="15"/>
        <v/>
      </c>
      <c r="J235" s="10" t="str">
        <f>[1]FINAL!B235</f>
        <v>Ream</v>
      </c>
      <c r="K235" t="str">
        <f>[1]FINAL!A235</f>
        <v>Tim Ream</v>
      </c>
    </row>
    <row r="236" spans="1:11" x14ac:dyDescent="0.3">
      <c r="A236" t="str">
        <f>IF('[2]Transfer History'!A236=0,"",'[2]Transfer History'!A236)</f>
        <v/>
      </c>
      <c r="B236" t="str">
        <f>IF('[2]Transfer History'!B236=0,"",'[2]Transfer History'!B236)</f>
        <v/>
      </c>
      <c r="C236" t="str">
        <f>IF('[2]Transfer History'!C236=0,"",'[2]Transfer History'!C236)</f>
        <v/>
      </c>
      <c r="D236" t="str">
        <f>IF(OR('[2]Transfer History'!D236=0,'[2]Transfer History'!D236="GW"&amp;TEAMS!$J$3),"",'[2]Transfer History'!D236)</f>
        <v/>
      </c>
      <c r="E236" t="str">
        <f t="shared" si="12"/>
        <v/>
      </c>
      <c r="F236" t="str">
        <f t="shared" si="13"/>
        <v/>
      </c>
      <c r="G236" t="str">
        <f t="shared" si="14"/>
        <v/>
      </c>
      <c r="H236" t="str">
        <f t="shared" si="15"/>
        <v/>
      </c>
      <c r="J236" s="10" t="str">
        <f>[1]FINAL!B236</f>
        <v>Van Hecke</v>
      </c>
      <c r="K236" t="str">
        <f>[1]FINAL!A236</f>
        <v>Jan Paul van Hecke</v>
      </c>
    </row>
    <row r="237" spans="1:11" x14ac:dyDescent="0.3">
      <c r="A237" t="str">
        <f>IF('[2]Transfer History'!A237=0,"",'[2]Transfer History'!A237)</f>
        <v/>
      </c>
      <c r="B237" t="str">
        <f>IF('[2]Transfer History'!B237=0,"",'[2]Transfer History'!B237)</f>
        <v/>
      </c>
      <c r="C237" t="str">
        <f>IF('[2]Transfer History'!C237=0,"",'[2]Transfer History'!C237)</f>
        <v/>
      </c>
      <c r="D237" t="str">
        <f>IF(OR('[2]Transfer History'!D237=0,'[2]Transfer History'!D237="GW"&amp;TEAMS!$J$3),"",'[2]Transfer History'!D237)</f>
        <v/>
      </c>
      <c r="E237" t="str">
        <f t="shared" si="12"/>
        <v/>
      </c>
      <c r="F237" t="str">
        <f t="shared" si="13"/>
        <v/>
      </c>
      <c r="G237" t="str">
        <f t="shared" si="14"/>
        <v/>
      </c>
      <c r="H237" t="str">
        <f t="shared" si="15"/>
        <v/>
      </c>
      <c r="J237" s="10" t="str">
        <f>[1]FINAL!B237</f>
        <v>W.Fofana</v>
      </c>
      <c r="K237" t="str">
        <f>[1]FINAL!A237</f>
        <v>Wesley Fofana</v>
      </c>
    </row>
    <row r="238" spans="1:11" x14ac:dyDescent="0.3">
      <c r="A238" t="str">
        <f>IF('[2]Transfer History'!A238=0,"",'[2]Transfer History'!A238)</f>
        <v/>
      </c>
      <c r="B238" t="str">
        <f>IF('[2]Transfer History'!B238=0,"",'[2]Transfer History'!B238)</f>
        <v/>
      </c>
      <c r="C238" t="str">
        <f>IF('[2]Transfer History'!C238=0,"",'[2]Transfer History'!C238)</f>
        <v/>
      </c>
      <c r="D238" t="str">
        <f>IF(OR('[2]Transfer History'!D238=0,'[2]Transfer History'!D238="GW"&amp;TEAMS!$J$3),"",'[2]Transfer History'!D238)</f>
        <v/>
      </c>
      <c r="E238" t="str">
        <f t="shared" si="12"/>
        <v/>
      </c>
      <c r="F238" t="str">
        <f t="shared" si="13"/>
        <v/>
      </c>
      <c r="G238" t="str">
        <f t="shared" si="14"/>
        <v/>
      </c>
      <c r="H238" t="str">
        <f t="shared" si="15"/>
        <v/>
      </c>
      <c r="J238" s="10" t="str">
        <f>[1]FINAL!B238</f>
        <v>Cash</v>
      </c>
      <c r="K238" t="str">
        <f>[1]FINAL!A238</f>
        <v>Matty Cash</v>
      </c>
    </row>
    <row r="239" spans="1:11" x14ac:dyDescent="0.3">
      <c r="A239" t="str">
        <f>IF('[2]Transfer History'!A239=0,"",'[2]Transfer History'!A239)</f>
        <v/>
      </c>
      <c r="B239" t="str">
        <f>IF('[2]Transfer History'!B239=0,"",'[2]Transfer History'!B239)</f>
        <v/>
      </c>
      <c r="C239" t="str">
        <f>IF('[2]Transfer History'!C239=0,"",'[2]Transfer History'!C239)</f>
        <v/>
      </c>
      <c r="D239" t="str">
        <f>IF(OR('[2]Transfer History'!D239=0,'[2]Transfer History'!D239="GW"&amp;TEAMS!$J$3),"",'[2]Transfer History'!D239)</f>
        <v/>
      </c>
      <c r="E239" t="str">
        <f t="shared" si="12"/>
        <v/>
      </c>
      <c r="F239" t="str">
        <f t="shared" si="13"/>
        <v/>
      </c>
      <c r="G239" t="str">
        <f t="shared" si="14"/>
        <v/>
      </c>
      <c r="H239" t="str">
        <f t="shared" si="15"/>
        <v/>
      </c>
      <c r="J239" s="10" t="str">
        <f>[1]FINAL!B239</f>
        <v>Guéhi</v>
      </c>
      <c r="K239" t="str">
        <f>[1]FINAL!A239</f>
        <v>Marc Guéhi</v>
      </c>
    </row>
    <row r="240" spans="1:11" x14ac:dyDescent="0.3">
      <c r="A240" t="str">
        <f>IF('[2]Transfer History'!A240=0,"",'[2]Transfer History'!A240)</f>
        <v/>
      </c>
      <c r="B240" t="str">
        <f>IF('[2]Transfer History'!B240=0,"",'[2]Transfer History'!B240)</f>
        <v/>
      </c>
      <c r="C240" t="str">
        <f>IF('[2]Transfer History'!C240=0,"",'[2]Transfer History'!C240)</f>
        <v/>
      </c>
      <c r="D240" t="str">
        <f>IF(OR('[2]Transfer History'!D240=0,'[2]Transfer History'!D240="GW"&amp;TEAMS!$J$3),"",'[2]Transfer History'!D240)</f>
        <v/>
      </c>
      <c r="E240" t="str">
        <f t="shared" si="12"/>
        <v/>
      </c>
      <c r="F240" t="str">
        <f t="shared" si="13"/>
        <v/>
      </c>
      <c r="G240" t="str">
        <f t="shared" si="14"/>
        <v/>
      </c>
      <c r="H240" t="str">
        <f t="shared" si="15"/>
        <v/>
      </c>
      <c r="J240" s="10" t="str">
        <f>[1]FINAL!B240</f>
        <v>Kehrer</v>
      </c>
      <c r="K240" t="str">
        <f>[1]FINAL!A240</f>
        <v>Thilo Kehrer</v>
      </c>
    </row>
    <row r="241" spans="1:11" x14ac:dyDescent="0.3">
      <c r="A241" t="str">
        <f>IF('[2]Transfer History'!A241=0,"",'[2]Transfer History'!A241)</f>
        <v/>
      </c>
      <c r="B241" t="str">
        <f>IF('[2]Transfer History'!B241=0,"",'[2]Transfer History'!B241)</f>
        <v/>
      </c>
      <c r="C241" t="str">
        <f>IF('[2]Transfer History'!C241=0,"",'[2]Transfer History'!C241)</f>
        <v/>
      </c>
      <c r="D241" t="str">
        <f>IF(OR('[2]Transfer History'!D241=0,'[2]Transfer History'!D241="GW"&amp;TEAMS!$J$3),"",'[2]Transfer History'!D241)</f>
        <v/>
      </c>
      <c r="E241" t="str">
        <f t="shared" si="12"/>
        <v/>
      </c>
      <c r="F241" t="str">
        <f t="shared" si="13"/>
        <v/>
      </c>
      <c r="G241" t="str">
        <f t="shared" si="14"/>
        <v/>
      </c>
      <c r="H241" t="str">
        <f t="shared" si="15"/>
        <v/>
      </c>
      <c r="J241" s="10" t="str">
        <f>[1]FINAL!B241</f>
        <v>Gallagher</v>
      </c>
      <c r="K241" t="str">
        <f>[1]FINAL!A241</f>
        <v>Conor Gallagher</v>
      </c>
    </row>
    <row r="242" spans="1:11" x14ac:dyDescent="0.3">
      <c r="A242" t="str">
        <f>IF('[2]Transfer History'!A242=0,"",'[2]Transfer History'!A242)</f>
        <v/>
      </c>
      <c r="B242" t="str">
        <f>IF('[2]Transfer History'!B242=0,"",'[2]Transfer History'!B242)</f>
        <v/>
      </c>
      <c r="C242" t="str">
        <f>IF('[2]Transfer History'!C242=0,"",'[2]Transfer History'!C242)</f>
        <v/>
      </c>
      <c r="D242" t="str">
        <f>IF(OR('[2]Transfer History'!D242=0,'[2]Transfer History'!D242="GW"&amp;TEAMS!$J$3),"",'[2]Transfer History'!D242)</f>
        <v/>
      </c>
      <c r="E242" t="str">
        <f t="shared" si="12"/>
        <v/>
      </c>
      <c r="F242" t="str">
        <f t="shared" si="13"/>
        <v/>
      </c>
      <c r="G242" t="str">
        <f t="shared" si="14"/>
        <v/>
      </c>
      <c r="H242" t="str">
        <f t="shared" si="15"/>
        <v/>
      </c>
      <c r="J242" s="10" t="str">
        <f>[1]FINAL!B242</f>
        <v>Hughes</v>
      </c>
      <c r="K242" t="str">
        <f>[1]FINAL!A242</f>
        <v>Will Hughes</v>
      </c>
    </row>
    <row r="243" spans="1:11" x14ac:dyDescent="0.3">
      <c r="A243" t="str">
        <f>IF('[2]Transfer History'!A243=0,"",'[2]Transfer History'!A243)</f>
        <v/>
      </c>
      <c r="B243" t="str">
        <f>IF('[2]Transfer History'!B243=0,"",'[2]Transfer History'!B243)</f>
        <v/>
      </c>
      <c r="C243" t="str">
        <f>IF('[2]Transfer History'!C243=0,"",'[2]Transfer History'!C243)</f>
        <v/>
      </c>
      <c r="D243" t="str">
        <f>IF(OR('[2]Transfer History'!D243=0,'[2]Transfer History'!D243="GW"&amp;TEAMS!$J$3),"",'[2]Transfer History'!D243)</f>
        <v/>
      </c>
      <c r="E243" t="str">
        <f t="shared" si="12"/>
        <v/>
      </c>
      <c r="F243" t="str">
        <f t="shared" si="13"/>
        <v/>
      </c>
      <c r="G243" t="str">
        <f t="shared" si="14"/>
        <v/>
      </c>
      <c r="H243" t="str">
        <f t="shared" si="15"/>
        <v/>
      </c>
      <c r="J243" s="10" t="str">
        <f>[1]FINAL!B243</f>
        <v>Janelt</v>
      </c>
      <c r="K243" t="str">
        <f>[1]FINAL!A243</f>
        <v>Vitaly Janelt</v>
      </c>
    </row>
    <row r="244" spans="1:11" x14ac:dyDescent="0.3">
      <c r="A244" t="str">
        <f>IF('[2]Transfer History'!A244=0,"",'[2]Transfer History'!A244)</f>
        <v/>
      </c>
      <c r="B244" t="str">
        <f>IF('[2]Transfer History'!B244=0,"",'[2]Transfer History'!B244)</f>
        <v/>
      </c>
      <c r="C244" t="str">
        <f>IF('[2]Transfer History'!C244=0,"",'[2]Transfer History'!C244)</f>
        <v/>
      </c>
      <c r="D244" t="str">
        <f>IF(OR('[2]Transfer History'!D244=0,'[2]Transfer History'!D244="GW"&amp;TEAMS!$J$3),"",'[2]Transfer History'!D244)</f>
        <v/>
      </c>
      <c r="E244" t="str">
        <f t="shared" si="12"/>
        <v/>
      </c>
      <c r="F244" t="str">
        <f t="shared" si="13"/>
        <v/>
      </c>
      <c r="G244" t="str">
        <f t="shared" si="14"/>
        <v/>
      </c>
      <c r="H244" t="str">
        <f t="shared" si="15"/>
        <v/>
      </c>
      <c r="J244" s="10" t="str">
        <f>[1]FINAL!B244</f>
        <v>Collins</v>
      </c>
      <c r="K244" t="str">
        <f>[1]FINAL!A244</f>
        <v>Nathan Collins</v>
      </c>
    </row>
    <row r="245" spans="1:11" x14ac:dyDescent="0.3">
      <c r="A245" t="str">
        <f>IF('[2]Transfer History'!A245=0,"",'[2]Transfer History'!A245)</f>
        <v/>
      </c>
      <c r="B245" t="str">
        <f>IF('[2]Transfer History'!B245=0,"",'[2]Transfer History'!B245)</f>
        <v/>
      </c>
      <c r="C245" t="str">
        <f>IF('[2]Transfer History'!C245=0,"",'[2]Transfer History'!C245)</f>
        <v/>
      </c>
      <c r="D245" t="str">
        <f>IF(OR('[2]Transfer History'!D245=0,'[2]Transfer History'!D245="GW"&amp;TEAMS!$J$3),"",'[2]Transfer History'!D245)</f>
        <v/>
      </c>
      <c r="E245" t="str">
        <f t="shared" si="12"/>
        <v/>
      </c>
      <c r="F245" t="str">
        <f t="shared" si="13"/>
        <v/>
      </c>
      <c r="G245" t="str">
        <f t="shared" si="14"/>
        <v/>
      </c>
      <c r="H245" t="str">
        <f t="shared" si="15"/>
        <v/>
      </c>
      <c r="J245" s="10" t="str">
        <f>[1]FINAL!B245</f>
        <v>Toffolo</v>
      </c>
      <c r="K245" t="str">
        <f>[1]FINAL!A245</f>
        <v>Harry Toffolo</v>
      </c>
    </row>
    <row r="246" spans="1:11" x14ac:dyDescent="0.3">
      <c r="A246" t="str">
        <f>IF('[2]Transfer History'!A246=0,"",'[2]Transfer History'!A246)</f>
        <v/>
      </c>
      <c r="B246" t="str">
        <f>IF('[2]Transfer History'!B246=0,"",'[2]Transfer History'!B246)</f>
        <v/>
      </c>
      <c r="C246" t="str">
        <f>IF('[2]Transfer History'!C246=0,"",'[2]Transfer History'!C246)</f>
        <v/>
      </c>
      <c r="D246" t="str">
        <f>IF(OR('[2]Transfer History'!D246=0,'[2]Transfer History'!D246="GW"&amp;TEAMS!$J$3),"",'[2]Transfer History'!D246)</f>
        <v/>
      </c>
      <c r="E246" t="str">
        <f t="shared" si="12"/>
        <v/>
      </c>
      <c r="F246" t="str">
        <f t="shared" si="13"/>
        <v/>
      </c>
      <c r="G246" t="str">
        <f t="shared" si="14"/>
        <v/>
      </c>
      <c r="H246" t="str">
        <f t="shared" si="15"/>
        <v/>
      </c>
      <c r="J246" s="10" t="str">
        <f>[1]FINAL!B246</f>
        <v>Turner</v>
      </c>
      <c r="K246" t="str">
        <f>[1]FINAL!A246</f>
        <v>Matt Turner</v>
      </c>
    </row>
    <row r="247" spans="1:11" x14ac:dyDescent="0.3">
      <c r="A247" t="str">
        <f>IF('[2]Transfer History'!A247=0,"",'[2]Transfer History'!A247)</f>
        <v/>
      </c>
      <c r="B247" t="str">
        <f>IF('[2]Transfer History'!B247=0,"",'[2]Transfer History'!B247)</f>
        <v/>
      </c>
      <c r="C247" t="str">
        <f>IF('[2]Transfer History'!C247=0,"",'[2]Transfer History'!C247)</f>
        <v/>
      </c>
      <c r="D247" t="str">
        <f>IF(OR('[2]Transfer History'!D247=0,'[2]Transfer History'!D247="GW"&amp;TEAMS!$J$3),"",'[2]Transfer History'!D247)</f>
        <v/>
      </c>
      <c r="E247" t="str">
        <f t="shared" si="12"/>
        <v/>
      </c>
      <c r="F247" t="str">
        <f t="shared" si="13"/>
        <v/>
      </c>
      <c r="G247" t="str">
        <f t="shared" si="14"/>
        <v/>
      </c>
      <c r="H247" t="str">
        <f t="shared" si="15"/>
        <v/>
      </c>
      <c r="J247" s="10" t="str">
        <f>[1]FINAL!B247</f>
        <v>Reed</v>
      </c>
      <c r="K247" t="str">
        <f>[1]FINAL!A247</f>
        <v>Harrison Reed</v>
      </c>
    </row>
    <row r="248" spans="1:11" x14ac:dyDescent="0.3">
      <c r="A248" t="str">
        <f>IF('[2]Transfer History'!A248=0,"",'[2]Transfer History'!A248)</f>
        <v/>
      </c>
      <c r="B248" t="str">
        <f>IF('[2]Transfer History'!B248=0,"",'[2]Transfer History'!B248)</f>
        <v/>
      </c>
      <c r="C248" t="str">
        <f>IF('[2]Transfer History'!C248=0,"",'[2]Transfer History'!C248)</f>
        <v/>
      </c>
      <c r="D248" t="str">
        <f>IF(OR('[2]Transfer History'!D248=0,'[2]Transfer History'!D248="GW"&amp;TEAMS!$J$3),"",'[2]Transfer History'!D248)</f>
        <v/>
      </c>
      <c r="E248" t="str">
        <f t="shared" si="12"/>
        <v/>
      </c>
      <c r="F248" t="str">
        <f t="shared" si="13"/>
        <v/>
      </c>
      <c r="G248" t="str">
        <f t="shared" si="14"/>
        <v/>
      </c>
      <c r="H248" t="str">
        <f t="shared" si="15"/>
        <v/>
      </c>
      <c r="J248" s="10" t="str">
        <f>[1]FINAL!B248</f>
        <v>Romero</v>
      </c>
      <c r="K248" t="str">
        <f>[1]FINAL!A248</f>
        <v>Cristian Romero</v>
      </c>
    </row>
    <row r="249" spans="1:11" x14ac:dyDescent="0.3">
      <c r="A249" t="str">
        <f>IF('[2]Transfer History'!A249=0,"",'[2]Transfer History'!A249)</f>
        <v/>
      </c>
      <c r="B249" t="str">
        <f>IF('[2]Transfer History'!B249=0,"",'[2]Transfer History'!B249)</f>
        <v/>
      </c>
      <c r="C249" t="str">
        <f>IF('[2]Transfer History'!C249=0,"",'[2]Transfer History'!C249)</f>
        <v/>
      </c>
      <c r="D249" t="str">
        <f>IF(OR('[2]Transfer History'!D249=0,'[2]Transfer History'!D249="GW"&amp;TEAMS!$J$3),"",'[2]Transfer History'!D249)</f>
        <v/>
      </c>
      <c r="E249" t="str">
        <f t="shared" si="12"/>
        <v/>
      </c>
      <c r="F249" t="str">
        <f t="shared" si="13"/>
        <v/>
      </c>
      <c r="G249" t="str">
        <f t="shared" si="14"/>
        <v/>
      </c>
      <c r="H249" t="str">
        <f t="shared" si="15"/>
        <v/>
      </c>
      <c r="J249" s="10" t="str">
        <f>[1]FINAL!B249</f>
        <v>Forster</v>
      </c>
      <c r="K249" t="str">
        <f>[1]FINAL!A249</f>
        <v>Fraser Forster</v>
      </c>
    </row>
    <row r="250" spans="1:11" x14ac:dyDescent="0.3">
      <c r="A250" t="str">
        <f>IF('[2]Transfer History'!A250=0,"",'[2]Transfer History'!A250)</f>
        <v/>
      </c>
      <c r="B250" t="str">
        <f>IF('[2]Transfer History'!B250=0,"",'[2]Transfer History'!B250)</f>
        <v/>
      </c>
      <c r="C250" t="str">
        <f>IF('[2]Transfer History'!C250=0,"",'[2]Transfer History'!C250)</f>
        <v/>
      </c>
      <c r="D250" t="str">
        <f>IF(OR('[2]Transfer History'!D250=0,'[2]Transfer History'!D250="GW"&amp;TEAMS!$J$3),"",'[2]Transfer History'!D250)</f>
        <v/>
      </c>
      <c r="E250" t="str">
        <f t="shared" si="12"/>
        <v/>
      </c>
      <c r="F250" t="str">
        <f t="shared" si="13"/>
        <v/>
      </c>
      <c r="G250" t="str">
        <f t="shared" si="14"/>
        <v/>
      </c>
      <c r="H250" t="str">
        <f t="shared" si="15"/>
        <v/>
      </c>
      <c r="J250" s="10" t="str">
        <f>[1]FINAL!B250</f>
        <v>Bueno</v>
      </c>
      <c r="K250" t="str">
        <f>[1]FINAL!A250</f>
        <v>Hugo Bueno López</v>
      </c>
    </row>
    <row r="251" spans="1:11" x14ac:dyDescent="0.3">
      <c r="A251" t="str">
        <f>IF('[2]Transfer History'!A251=0,"",'[2]Transfer History'!A251)</f>
        <v/>
      </c>
      <c r="B251" t="str">
        <f>IF('[2]Transfer History'!B251=0,"",'[2]Transfer History'!B251)</f>
        <v/>
      </c>
      <c r="C251" t="str">
        <f>IF('[2]Transfer History'!C251=0,"",'[2]Transfer History'!C251)</f>
        <v/>
      </c>
      <c r="D251" t="str">
        <f>IF(OR('[2]Transfer History'!D251=0,'[2]Transfer History'!D251="GW"&amp;TEAMS!$J$3),"",'[2]Transfer History'!D251)</f>
        <v/>
      </c>
      <c r="E251" t="str">
        <f t="shared" si="12"/>
        <v/>
      </c>
      <c r="F251" t="str">
        <f t="shared" si="13"/>
        <v/>
      </c>
      <c r="G251" t="str">
        <f t="shared" si="14"/>
        <v/>
      </c>
      <c r="H251" t="str">
        <f t="shared" si="15"/>
        <v/>
      </c>
      <c r="J251" s="10" t="str">
        <f>[1]FINAL!B251</f>
        <v>Godfrey</v>
      </c>
      <c r="K251" t="str">
        <f>[1]FINAL!A251</f>
        <v>Ben Godfrey</v>
      </c>
    </row>
    <row r="252" spans="1:11" x14ac:dyDescent="0.3">
      <c r="A252" t="str">
        <f>IF('[2]Transfer History'!A252=0,"",'[2]Transfer History'!A252)</f>
        <v/>
      </c>
      <c r="B252" t="str">
        <f>IF('[2]Transfer History'!B252=0,"",'[2]Transfer History'!B252)</f>
        <v/>
      </c>
      <c r="C252" t="str">
        <f>IF('[2]Transfer History'!C252=0,"",'[2]Transfer History'!C252)</f>
        <v/>
      </c>
      <c r="D252" t="str">
        <f>IF(OR('[2]Transfer History'!D252=0,'[2]Transfer History'!D252="GW"&amp;TEAMS!$J$3),"",'[2]Transfer History'!D252)</f>
        <v/>
      </c>
      <c r="E252" t="str">
        <f t="shared" si="12"/>
        <v/>
      </c>
      <c r="F252" t="str">
        <f t="shared" si="13"/>
        <v/>
      </c>
      <c r="G252" t="str">
        <f t="shared" si="14"/>
        <v/>
      </c>
      <c r="H252" t="str">
        <f t="shared" si="15"/>
        <v/>
      </c>
      <c r="J252" s="10" t="str">
        <f>[1]FINAL!B252</f>
        <v>Aubameyang</v>
      </c>
      <c r="K252" t="str">
        <f>[1]FINAL!A252</f>
        <v>Pierre-Emerick Aubameyang</v>
      </c>
    </row>
    <row r="253" spans="1:11" x14ac:dyDescent="0.3">
      <c r="A253" t="str">
        <f>IF('[2]Transfer History'!A253=0,"",'[2]Transfer History'!A253)</f>
        <v/>
      </c>
      <c r="B253" t="str">
        <f>IF('[2]Transfer History'!B253=0,"",'[2]Transfer History'!B253)</f>
        <v/>
      </c>
      <c r="C253" t="str">
        <f>IF('[2]Transfer History'!C253=0,"",'[2]Transfer History'!C253)</f>
        <v/>
      </c>
      <c r="D253" t="str">
        <f>IF(OR('[2]Transfer History'!D253=0,'[2]Transfer History'!D253="GW"&amp;TEAMS!$J$3),"",'[2]Transfer History'!D253)</f>
        <v/>
      </c>
      <c r="E253" t="str">
        <f t="shared" si="12"/>
        <v/>
      </c>
      <c r="F253" t="str">
        <f t="shared" si="13"/>
        <v/>
      </c>
      <c r="G253" t="str">
        <f t="shared" si="14"/>
        <v/>
      </c>
      <c r="H253" t="str">
        <f t="shared" si="15"/>
        <v/>
      </c>
      <c r="J253" s="10" t="str">
        <f>[1]FINAL!B253</f>
        <v>J.Otto</v>
      </c>
      <c r="K253" t="str">
        <f>[1]FINAL!A253</f>
        <v>Jonathan Castro Otto</v>
      </c>
    </row>
    <row r="254" spans="1:11" x14ac:dyDescent="0.3">
      <c r="A254" t="str">
        <f>IF('[2]Transfer History'!A254=0,"",'[2]Transfer History'!A254)</f>
        <v/>
      </c>
      <c r="B254" t="str">
        <f>IF('[2]Transfer History'!B254=0,"",'[2]Transfer History'!B254)</f>
        <v/>
      </c>
      <c r="C254" t="str">
        <f>IF('[2]Transfer History'!C254=0,"",'[2]Transfer History'!C254)</f>
        <v/>
      </c>
      <c r="D254" t="str">
        <f>IF(OR('[2]Transfer History'!D254=0,'[2]Transfer History'!D254="GW"&amp;TEAMS!$J$3),"",'[2]Transfer History'!D254)</f>
        <v/>
      </c>
      <c r="E254" t="str">
        <f t="shared" si="12"/>
        <v/>
      </c>
      <c r="F254" t="str">
        <f t="shared" si="13"/>
        <v/>
      </c>
      <c r="G254" t="str">
        <f t="shared" si="14"/>
        <v/>
      </c>
      <c r="H254" t="str">
        <f t="shared" si="15"/>
        <v/>
      </c>
      <c r="J254" s="10" t="str">
        <f>[1]FINAL!B254</f>
        <v>Guedes</v>
      </c>
      <c r="K254" t="str">
        <f>[1]FINAL!A254</f>
        <v>Gonçalo Manuel Ganchinho Guedes</v>
      </c>
    </row>
    <row r="255" spans="1:11" x14ac:dyDescent="0.3">
      <c r="A255" t="str">
        <f>IF('[2]Transfer History'!A255=0,"",'[2]Transfer History'!A255)</f>
        <v/>
      </c>
      <c r="B255" t="str">
        <f>IF('[2]Transfer History'!B255=0,"",'[2]Transfer History'!B255)</f>
        <v/>
      </c>
      <c r="C255" t="str">
        <f>IF('[2]Transfer History'!C255=0,"",'[2]Transfer History'!C255)</f>
        <v/>
      </c>
      <c r="D255" t="str">
        <f>IF(OR('[2]Transfer History'!D255=0,'[2]Transfer History'!D255="GW"&amp;TEAMS!$J$3),"",'[2]Transfer History'!D255)</f>
        <v/>
      </c>
      <c r="E255" t="str">
        <f t="shared" si="12"/>
        <v/>
      </c>
      <c r="F255" t="str">
        <f t="shared" si="13"/>
        <v/>
      </c>
      <c r="G255" t="str">
        <f t="shared" si="14"/>
        <v/>
      </c>
      <c r="H255" t="str">
        <f t="shared" si="15"/>
        <v/>
      </c>
      <c r="J255" s="10" t="str">
        <f>[1]FINAL!B255</f>
        <v>Thomas</v>
      </c>
      <c r="K255" t="str">
        <f>[1]FINAL!A255</f>
        <v>Thomas Partey</v>
      </c>
    </row>
    <row r="256" spans="1:11" x14ac:dyDescent="0.3">
      <c r="A256" t="str">
        <f>IF('[2]Transfer History'!A256=0,"",'[2]Transfer History'!A256)</f>
        <v/>
      </c>
      <c r="B256" t="str">
        <f>IF('[2]Transfer History'!B256=0,"",'[2]Transfer History'!B256)</f>
        <v/>
      </c>
      <c r="C256" t="str">
        <f>IF('[2]Transfer History'!C256=0,"",'[2]Transfer History'!C256)</f>
        <v/>
      </c>
      <c r="D256" t="str">
        <f>IF(OR('[2]Transfer History'!D256=0,'[2]Transfer History'!D256="GW"&amp;TEAMS!$J$3),"",'[2]Transfer History'!D256)</f>
        <v/>
      </c>
      <c r="E256" t="str">
        <f t="shared" si="12"/>
        <v/>
      </c>
      <c r="F256" t="str">
        <f t="shared" si="13"/>
        <v/>
      </c>
      <c r="G256" t="str">
        <f t="shared" si="14"/>
        <v/>
      </c>
      <c r="H256" t="str">
        <f t="shared" si="15"/>
        <v/>
      </c>
      <c r="J256" s="10" t="str">
        <f>[1]FINAL!B256</f>
        <v>Rodák</v>
      </c>
      <c r="K256" t="str">
        <f>[1]FINAL!A256</f>
        <v>Marek Rodák</v>
      </c>
    </row>
    <row r="257" spans="1:11" x14ac:dyDescent="0.3">
      <c r="A257" t="str">
        <f>IF('[2]Transfer History'!A257=0,"",'[2]Transfer History'!A257)</f>
        <v/>
      </c>
      <c r="B257" t="str">
        <f>IF('[2]Transfer History'!B257=0,"",'[2]Transfer History'!B257)</f>
        <v/>
      </c>
      <c r="C257" t="str">
        <f>IF('[2]Transfer History'!C257=0,"",'[2]Transfer History'!C257)</f>
        <v/>
      </c>
      <c r="D257" t="str">
        <f>IF(OR('[2]Transfer History'!D257=0,'[2]Transfer History'!D257="GW"&amp;TEAMS!$J$3),"",'[2]Transfer History'!D257)</f>
        <v/>
      </c>
      <c r="E257" t="str">
        <f t="shared" si="12"/>
        <v/>
      </c>
      <c r="F257" t="str">
        <f t="shared" si="13"/>
        <v/>
      </c>
      <c r="G257" t="str">
        <f t="shared" si="14"/>
        <v/>
      </c>
      <c r="H257" t="str">
        <f t="shared" si="15"/>
        <v/>
      </c>
      <c r="J257" s="10" t="str">
        <f>[1]FINAL!B257</f>
        <v>Christie</v>
      </c>
      <c r="K257" t="str">
        <f>[1]FINAL!A257</f>
        <v>Ryan Christie</v>
      </c>
    </row>
    <row r="258" spans="1:11" x14ac:dyDescent="0.3">
      <c r="A258" t="str">
        <f>IF('[2]Transfer History'!A258=0,"",'[2]Transfer History'!A258)</f>
        <v/>
      </c>
      <c r="B258" t="str">
        <f>IF('[2]Transfer History'!B258=0,"",'[2]Transfer History'!B258)</f>
        <v/>
      </c>
      <c r="C258" t="str">
        <f>IF('[2]Transfer History'!C258=0,"",'[2]Transfer History'!C258)</f>
        <v/>
      </c>
      <c r="D258" t="str">
        <f>IF(OR('[2]Transfer History'!D258=0,'[2]Transfer History'!D258="GW"&amp;TEAMS!$J$3),"",'[2]Transfer History'!D258)</f>
        <v/>
      </c>
      <c r="E258" t="str">
        <f t="shared" si="12"/>
        <v/>
      </c>
      <c r="F258" t="str">
        <f t="shared" si="13"/>
        <v/>
      </c>
      <c r="G258" t="str">
        <f t="shared" si="14"/>
        <v/>
      </c>
      <c r="H258" t="str">
        <f t="shared" si="15"/>
        <v/>
      </c>
      <c r="J258" s="10" t="str">
        <f>[1]FINAL!B258</f>
        <v>Mykolenko</v>
      </c>
      <c r="K258" t="str">
        <f>[1]FINAL!A258</f>
        <v>Vitalii Mykolenko</v>
      </c>
    </row>
    <row r="259" spans="1:11" x14ac:dyDescent="0.3">
      <c r="A259" t="str">
        <f>IF('[2]Transfer History'!A259=0,"",'[2]Transfer History'!A259)</f>
        <v/>
      </c>
      <c r="B259" t="str">
        <f>IF('[2]Transfer History'!B259=0,"",'[2]Transfer History'!B259)</f>
        <v/>
      </c>
      <c r="C259" t="str">
        <f>IF('[2]Transfer History'!C259=0,"",'[2]Transfer History'!C259)</f>
        <v/>
      </c>
      <c r="D259" t="str">
        <f>IF(OR('[2]Transfer History'!D259=0,'[2]Transfer History'!D259="GW"&amp;TEAMS!$J$3),"",'[2]Transfer History'!D259)</f>
        <v/>
      </c>
      <c r="E259" t="str">
        <f t="shared" ref="E259:E322" si="16">IFERROR(VLOOKUP(C259,$J:$K,MATCH("Player Name",$J$1:$K$1,0),0),"")</f>
        <v/>
      </c>
      <c r="F259" t="str">
        <f t="shared" ref="F259:F322" si="17">D259&amp;E259</f>
        <v/>
      </c>
      <c r="G259" t="str">
        <f t="shared" ref="G259:G322" si="18">IFERROR(VLOOKUP(B259,$J:$K,MATCH("Player Name",$J$1:$K$1,0),0),"")</f>
        <v/>
      </c>
      <c r="H259" t="str">
        <f t="shared" ref="H259:H322" si="19">E259</f>
        <v/>
      </c>
      <c r="J259" s="10" t="str">
        <f>[1]FINAL!B259</f>
        <v>Coutinho</v>
      </c>
      <c r="K259" t="str">
        <f>[1]FINAL!A259</f>
        <v>Philippe Coutinho Correia</v>
      </c>
    </row>
    <row r="260" spans="1:11" x14ac:dyDescent="0.3">
      <c r="A260" t="str">
        <f>IF('[2]Transfer History'!A260=0,"",'[2]Transfer History'!A260)</f>
        <v/>
      </c>
      <c r="B260" t="str">
        <f>IF('[2]Transfer History'!B260=0,"",'[2]Transfer History'!B260)</f>
        <v/>
      </c>
      <c r="C260" t="str">
        <f>IF('[2]Transfer History'!C260=0,"",'[2]Transfer History'!C260)</f>
        <v/>
      </c>
      <c r="D260" t="str">
        <f>IF(OR('[2]Transfer History'!D260=0,'[2]Transfer History'!D260="GW"&amp;TEAMS!$J$3),"",'[2]Transfer History'!D260)</f>
        <v/>
      </c>
      <c r="E260" t="str">
        <f t="shared" si="16"/>
        <v/>
      </c>
      <c r="F260" t="str">
        <f t="shared" si="17"/>
        <v/>
      </c>
      <c r="G260" t="str">
        <f t="shared" si="18"/>
        <v/>
      </c>
      <c r="H260" t="str">
        <f t="shared" si="19"/>
        <v/>
      </c>
      <c r="J260" s="10" t="str">
        <f>[1]FINAL!B260</f>
        <v>Bajcetic</v>
      </c>
      <c r="K260" t="str">
        <f>[1]FINAL!A260</f>
        <v>Stefan Bajcetic</v>
      </c>
    </row>
    <row r="261" spans="1:11" x14ac:dyDescent="0.3">
      <c r="A261" t="str">
        <f>IF('[2]Transfer History'!A261=0,"",'[2]Transfer History'!A261)</f>
        <v/>
      </c>
      <c r="B261" t="str">
        <f>IF('[2]Transfer History'!B261=0,"",'[2]Transfer History'!B261)</f>
        <v/>
      </c>
      <c r="C261" t="str">
        <f>IF('[2]Transfer History'!C261=0,"",'[2]Transfer History'!C261)</f>
        <v/>
      </c>
      <c r="D261" t="str">
        <f>IF(OR('[2]Transfer History'!D261=0,'[2]Transfer History'!D261="GW"&amp;TEAMS!$J$3),"",'[2]Transfer History'!D261)</f>
        <v/>
      </c>
      <c r="E261" t="str">
        <f t="shared" si="16"/>
        <v/>
      </c>
      <c r="F261" t="str">
        <f t="shared" si="17"/>
        <v/>
      </c>
      <c r="G261" t="str">
        <f t="shared" si="18"/>
        <v/>
      </c>
      <c r="H261" t="str">
        <f t="shared" si="19"/>
        <v/>
      </c>
      <c r="J261" s="10" t="str">
        <f>[1]FINAL!B261</f>
        <v>Tete</v>
      </c>
      <c r="K261" t="str">
        <f>[1]FINAL!A261</f>
        <v>Kenny Tete</v>
      </c>
    </row>
    <row r="262" spans="1:11" x14ac:dyDescent="0.3">
      <c r="A262" t="str">
        <f>IF('[2]Transfer History'!A262=0,"",'[2]Transfer History'!A262)</f>
        <v/>
      </c>
      <c r="B262" t="str">
        <f>IF('[2]Transfer History'!B262=0,"",'[2]Transfer History'!B262)</f>
        <v/>
      </c>
      <c r="C262" t="str">
        <f>IF('[2]Transfer History'!C262=0,"",'[2]Transfer History'!C262)</f>
        <v/>
      </c>
      <c r="D262" t="str">
        <f>IF(OR('[2]Transfer History'!D262=0,'[2]Transfer History'!D262="GW"&amp;TEAMS!$J$3),"",'[2]Transfer History'!D262)</f>
        <v/>
      </c>
      <c r="E262" t="str">
        <f t="shared" si="16"/>
        <v/>
      </c>
      <c r="F262" t="str">
        <f t="shared" si="17"/>
        <v/>
      </c>
      <c r="G262" t="str">
        <f t="shared" si="18"/>
        <v/>
      </c>
      <c r="H262" t="str">
        <f t="shared" si="19"/>
        <v/>
      </c>
      <c r="J262" s="10" t="str">
        <f>[1]FINAL!B262</f>
        <v>Hickey</v>
      </c>
      <c r="K262" t="str">
        <f>[1]FINAL!A262</f>
        <v>Aaron Hickey</v>
      </c>
    </row>
    <row r="263" spans="1:11" x14ac:dyDescent="0.3">
      <c r="A263" t="str">
        <f>IF('[2]Transfer History'!A263=0,"",'[2]Transfer History'!A263)</f>
        <v/>
      </c>
      <c r="B263" t="str">
        <f>IF('[2]Transfer History'!B263=0,"",'[2]Transfer History'!B263)</f>
        <v/>
      </c>
      <c r="C263" t="str">
        <f>IF('[2]Transfer History'!C263=0,"",'[2]Transfer History'!C263)</f>
        <v/>
      </c>
      <c r="D263" t="str">
        <f>IF(OR('[2]Transfer History'!D263=0,'[2]Transfer History'!D263="GW"&amp;TEAMS!$J$3),"",'[2]Transfer History'!D263)</f>
        <v/>
      </c>
      <c r="E263" t="str">
        <f t="shared" si="16"/>
        <v/>
      </c>
      <c r="F263" t="str">
        <f t="shared" si="17"/>
        <v/>
      </c>
      <c r="G263" t="str">
        <f t="shared" si="18"/>
        <v/>
      </c>
      <c r="H263" t="str">
        <f t="shared" si="19"/>
        <v/>
      </c>
      <c r="J263" s="10" t="str">
        <f>[1]FINAL!B263</f>
        <v>Bryan</v>
      </c>
      <c r="K263" t="str">
        <f>[1]FINAL!A263</f>
        <v>Bryan Gil Salvatierra</v>
      </c>
    </row>
    <row r="264" spans="1:11" x14ac:dyDescent="0.3">
      <c r="A264" t="str">
        <f>IF('[2]Transfer History'!A264=0,"",'[2]Transfer History'!A264)</f>
        <v/>
      </c>
      <c r="B264" t="str">
        <f>IF('[2]Transfer History'!B264=0,"",'[2]Transfer History'!B264)</f>
        <v/>
      </c>
      <c r="C264" t="str">
        <f>IF('[2]Transfer History'!C264=0,"",'[2]Transfer History'!C264)</f>
        <v/>
      </c>
      <c r="D264" t="str">
        <f>IF(OR('[2]Transfer History'!D264=0,'[2]Transfer History'!D264="GW"&amp;TEAMS!$J$3),"",'[2]Transfer History'!D264)</f>
        <v/>
      </c>
      <c r="E264" t="str">
        <f t="shared" si="16"/>
        <v/>
      </c>
      <c r="F264" t="str">
        <f t="shared" si="17"/>
        <v/>
      </c>
      <c r="G264" t="str">
        <f t="shared" si="18"/>
        <v/>
      </c>
      <c r="H264" t="str">
        <f t="shared" si="19"/>
        <v/>
      </c>
      <c r="J264" s="10" t="str">
        <f>[1]FINAL!B264</f>
        <v>Williams</v>
      </c>
      <c r="K264" t="str">
        <f>[1]FINAL!A264</f>
        <v>Neco Williams</v>
      </c>
    </row>
    <row r="265" spans="1:11" x14ac:dyDescent="0.3">
      <c r="A265" t="str">
        <f>IF('[2]Transfer History'!A265=0,"",'[2]Transfer History'!A265)</f>
        <v/>
      </c>
      <c r="B265" t="str">
        <f>IF('[2]Transfer History'!B265=0,"",'[2]Transfer History'!B265)</f>
        <v/>
      </c>
      <c r="C265" t="str">
        <f>IF('[2]Transfer History'!C265=0,"",'[2]Transfer History'!C265)</f>
        <v/>
      </c>
      <c r="D265" t="str">
        <f>IF(OR('[2]Transfer History'!D265=0,'[2]Transfer History'!D265="GW"&amp;TEAMS!$J$3),"",'[2]Transfer History'!D265)</f>
        <v/>
      </c>
      <c r="E265" t="str">
        <f t="shared" si="16"/>
        <v/>
      </c>
      <c r="F265" t="str">
        <f t="shared" si="17"/>
        <v/>
      </c>
      <c r="G265" t="str">
        <f t="shared" si="18"/>
        <v/>
      </c>
      <c r="H265" t="str">
        <f t="shared" si="19"/>
        <v/>
      </c>
      <c r="J265" s="10" t="str">
        <f>[1]FINAL!B265</f>
        <v>Senesi</v>
      </c>
      <c r="K265" t="str">
        <f>[1]FINAL!A265</f>
        <v>Marcos Senesi</v>
      </c>
    </row>
    <row r="266" spans="1:11" x14ac:dyDescent="0.3">
      <c r="A266" t="str">
        <f>IF('[2]Transfer History'!A266=0,"",'[2]Transfer History'!A266)</f>
        <v/>
      </c>
      <c r="B266" t="str">
        <f>IF('[2]Transfer History'!B266=0,"",'[2]Transfer History'!B266)</f>
        <v/>
      </c>
      <c r="C266" t="str">
        <f>IF('[2]Transfer History'!C266=0,"",'[2]Transfer History'!C266)</f>
        <v/>
      </c>
      <c r="D266" t="str">
        <f>IF(OR('[2]Transfer History'!D266=0,'[2]Transfer History'!D266="GW"&amp;TEAMS!$J$3),"",'[2]Transfer History'!D266)</f>
        <v/>
      </c>
      <c r="E266" t="str">
        <f t="shared" si="16"/>
        <v/>
      </c>
      <c r="F266" t="str">
        <f t="shared" si="17"/>
        <v/>
      </c>
      <c r="G266" t="str">
        <f t="shared" si="18"/>
        <v/>
      </c>
      <c r="H266" t="str">
        <f t="shared" si="19"/>
        <v/>
      </c>
      <c r="J266" s="10" t="str">
        <f>[1]FINAL!B266</f>
        <v>De Cordova-Reid</v>
      </c>
      <c r="K266" t="str">
        <f>[1]FINAL!A266</f>
        <v>Bobby De Cordova-Reid</v>
      </c>
    </row>
    <row r="267" spans="1:11" x14ac:dyDescent="0.3">
      <c r="A267" t="str">
        <f>IF('[2]Transfer History'!A267=0,"",'[2]Transfer History'!A267)</f>
        <v/>
      </c>
      <c r="B267" t="str">
        <f>IF('[2]Transfer History'!B267=0,"",'[2]Transfer History'!B267)</f>
        <v/>
      </c>
      <c r="C267" t="str">
        <f>IF('[2]Transfer History'!C267=0,"",'[2]Transfer History'!C267)</f>
        <v/>
      </c>
      <c r="D267" t="str">
        <f>IF(OR('[2]Transfer History'!D267=0,'[2]Transfer History'!D267="GW"&amp;TEAMS!$J$3),"",'[2]Transfer History'!D267)</f>
        <v/>
      </c>
      <c r="E267" t="str">
        <f t="shared" si="16"/>
        <v/>
      </c>
      <c r="F267" t="str">
        <f t="shared" si="17"/>
        <v/>
      </c>
      <c r="G267" t="str">
        <f t="shared" si="18"/>
        <v/>
      </c>
      <c r="H267" t="str">
        <f t="shared" si="19"/>
        <v/>
      </c>
      <c r="J267" s="10" t="str">
        <f>[1]FINAL!B267</f>
        <v>Milner</v>
      </c>
      <c r="K267" t="str">
        <f>[1]FINAL!A267</f>
        <v>James Milner</v>
      </c>
    </row>
    <row r="268" spans="1:11" x14ac:dyDescent="0.3">
      <c r="A268" t="str">
        <f>IF('[2]Transfer History'!A268=0,"",'[2]Transfer History'!A268)</f>
        <v/>
      </c>
      <c r="B268" t="str">
        <f>IF('[2]Transfer History'!B268=0,"",'[2]Transfer History'!B268)</f>
        <v/>
      </c>
      <c r="C268" t="str">
        <f>IF('[2]Transfer History'!C268=0,"",'[2]Transfer History'!C268)</f>
        <v/>
      </c>
      <c r="D268" t="str">
        <f>IF(OR('[2]Transfer History'!D268=0,'[2]Transfer History'!D268="GW"&amp;TEAMS!$J$3),"",'[2]Transfer History'!D268)</f>
        <v/>
      </c>
      <c r="E268" t="str">
        <f t="shared" si="16"/>
        <v/>
      </c>
      <c r="F268" t="str">
        <f t="shared" si="17"/>
        <v/>
      </c>
      <c r="G268" t="str">
        <f t="shared" si="18"/>
        <v/>
      </c>
      <c r="H268" t="str">
        <f t="shared" si="19"/>
        <v/>
      </c>
      <c r="J268" s="10" t="str">
        <f>[1]FINAL!B268</f>
        <v>Kelly</v>
      </c>
      <c r="K268" t="str">
        <f>[1]FINAL!A268</f>
        <v>Lloyd Kelly</v>
      </c>
    </row>
    <row r="269" spans="1:11" x14ac:dyDescent="0.3">
      <c r="A269" t="str">
        <f>IF('[2]Transfer History'!A269=0,"",'[2]Transfer History'!A269)</f>
        <v/>
      </c>
      <c r="B269" t="str">
        <f>IF('[2]Transfer History'!B269=0,"",'[2]Transfer History'!B269)</f>
        <v/>
      </c>
      <c r="C269" t="str">
        <f>IF('[2]Transfer History'!C269=0,"",'[2]Transfer History'!C269)</f>
        <v/>
      </c>
      <c r="D269" t="str">
        <f>IF(OR('[2]Transfer History'!D269=0,'[2]Transfer History'!D269="GW"&amp;TEAMS!$J$3),"",'[2]Transfer History'!D269)</f>
        <v/>
      </c>
      <c r="E269" t="str">
        <f t="shared" si="16"/>
        <v/>
      </c>
      <c r="F269" t="str">
        <f t="shared" si="17"/>
        <v/>
      </c>
      <c r="G269" t="str">
        <f t="shared" si="18"/>
        <v/>
      </c>
      <c r="H269" t="str">
        <f t="shared" si="19"/>
        <v/>
      </c>
      <c r="J269" s="10" t="str">
        <f>[1]FINAL!B269</f>
        <v>McGinn</v>
      </c>
      <c r="K269" t="str">
        <f>[1]FINAL!A269</f>
        <v>John McGinn</v>
      </c>
    </row>
    <row r="270" spans="1:11" x14ac:dyDescent="0.3">
      <c r="A270" t="str">
        <f>IF('[2]Transfer History'!A270=0,"",'[2]Transfer History'!A270)</f>
        <v/>
      </c>
      <c r="B270" t="str">
        <f>IF('[2]Transfer History'!B270=0,"",'[2]Transfer History'!B270)</f>
        <v/>
      </c>
      <c r="C270" t="str">
        <f>IF('[2]Transfer History'!C270=0,"",'[2]Transfer History'!C270)</f>
        <v/>
      </c>
      <c r="D270" t="str">
        <f>IF(OR('[2]Transfer History'!D270=0,'[2]Transfer History'!D270="GW"&amp;TEAMS!$J$3),"",'[2]Transfer History'!D270)</f>
        <v/>
      </c>
      <c r="E270" t="str">
        <f t="shared" si="16"/>
        <v/>
      </c>
      <c r="F270" t="str">
        <f t="shared" si="17"/>
        <v/>
      </c>
      <c r="G270" t="str">
        <f t="shared" si="18"/>
        <v/>
      </c>
      <c r="H270" t="str">
        <f t="shared" si="19"/>
        <v/>
      </c>
      <c r="J270" s="10" t="str">
        <f>[1]FINAL!B270</f>
        <v>Onyeka</v>
      </c>
      <c r="K270" t="str">
        <f>[1]FINAL!A270</f>
        <v>Frank Onyeka</v>
      </c>
    </row>
    <row r="271" spans="1:11" x14ac:dyDescent="0.3">
      <c r="A271" t="str">
        <f>IF('[2]Transfer History'!A271=0,"",'[2]Transfer History'!A271)</f>
        <v/>
      </c>
      <c r="B271" t="str">
        <f>IF('[2]Transfer History'!B271=0,"",'[2]Transfer History'!B271)</f>
        <v/>
      </c>
      <c r="C271" t="str">
        <f>IF('[2]Transfer History'!C271=0,"",'[2]Transfer History'!C271)</f>
        <v/>
      </c>
      <c r="D271" t="str">
        <f>IF(OR('[2]Transfer History'!D271=0,'[2]Transfer History'!D271="GW"&amp;TEAMS!$J$3),"",'[2]Transfer History'!D271)</f>
        <v/>
      </c>
      <c r="E271" t="str">
        <f t="shared" si="16"/>
        <v/>
      </c>
      <c r="F271" t="str">
        <f t="shared" si="17"/>
        <v/>
      </c>
      <c r="G271" t="str">
        <f t="shared" si="18"/>
        <v/>
      </c>
      <c r="H271" t="str">
        <f t="shared" si="19"/>
        <v/>
      </c>
      <c r="J271" s="10" t="str">
        <f>[1]FINAL!B271</f>
        <v>Clyne</v>
      </c>
      <c r="K271" t="str">
        <f>[1]FINAL!A271</f>
        <v>Nathaniel Clyne</v>
      </c>
    </row>
    <row r="272" spans="1:11" x14ac:dyDescent="0.3">
      <c r="A272" t="str">
        <f>IF('[2]Transfer History'!A272=0,"",'[2]Transfer History'!A272)</f>
        <v/>
      </c>
      <c r="B272" t="str">
        <f>IF('[2]Transfer History'!B272=0,"",'[2]Transfer History'!B272)</f>
        <v/>
      </c>
      <c r="C272" t="str">
        <f>IF('[2]Transfer History'!C272=0,"",'[2]Transfer History'!C272)</f>
        <v/>
      </c>
      <c r="D272" t="str">
        <f>IF(OR('[2]Transfer History'!D272=0,'[2]Transfer History'!D272="GW"&amp;TEAMS!$J$3),"",'[2]Transfer History'!D272)</f>
        <v/>
      </c>
      <c r="E272" t="str">
        <f t="shared" si="16"/>
        <v/>
      </c>
      <c r="F272" t="str">
        <f t="shared" si="17"/>
        <v/>
      </c>
      <c r="G272" t="str">
        <f t="shared" si="18"/>
        <v/>
      </c>
      <c r="H272" t="str">
        <f t="shared" si="19"/>
        <v/>
      </c>
      <c r="J272" s="10" t="str">
        <f>[1]FINAL!B272</f>
        <v>Damsgaard</v>
      </c>
      <c r="K272" t="str">
        <f>[1]FINAL!A272</f>
        <v>Mikkel Damsgaard</v>
      </c>
    </row>
    <row r="273" spans="1:11" x14ac:dyDescent="0.3">
      <c r="A273" t="str">
        <f>IF('[2]Transfer History'!A273=0,"",'[2]Transfer History'!A273)</f>
        <v/>
      </c>
      <c r="B273" t="str">
        <f>IF('[2]Transfer History'!B273=0,"",'[2]Transfer History'!B273)</f>
        <v/>
      </c>
      <c r="C273" t="str">
        <f>IF('[2]Transfer History'!C273=0,"",'[2]Transfer History'!C273)</f>
        <v/>
      </c>
      <c r="D273" t="str">
        <f>IF(OR('[2]Transfer History'!D273=0,'[2]Transfer History'!D273="GW"&amp;TEAMS!$J$3),"",'[2]Transfer History'!D273)</f>
        <v/>
      </c>
      <c r="E273" t="str">
        <f t="shared" si="16"/>
        <v/>
      </c>
      <c r="F273" t="str">
        <f t="shared" si="17"/>
        <v/>
      </c>
      <c r="G273" t="str">
        <f t="shared" si="18"/>
        <v/>
      </c>
      <c r="H273" t="str">
        <f t="shared" si="19"/>
        <v/>
      </c>
      <c r="J273" s="10" t="str">
        <f>[1]FINAL!B273</f>
        <v>Matheus N.</v>
      </c>
      <c r="K273" t="str">
        <f>[1]FINAL!A273</f>
        <v>Matheus Luiz Nunes</v>
      </c>
    </row>
    <row r="274" spans="1:11" x14ac:dyDescent="0.3">
      <c r="A274" t="str">
        <f>IF('[2]Transfer History'!A274=0,"",'[2]Transfer History'!A274)</f>
        <v/>
      </c>
      <c r="B274" t="str">
        <f>IF('[2]Transfer History'!B274=0,"",'[2]Transfer History'!B274)</f>
        <v/>
      </c>
      <c r="C274" t="str">
        <f>IF('[2]Transfer History'!C274=0,"",'[2]Transfer History'!C274)</f>
        <v/>
      </c>
      <c r="D274" t="str">
        <f>IF(OR('[2]Transfer History'!D274=0,'[2]Transfer History'!D274="GW"&amp;TEAMS!$J$3),"",'[2]Transfer History'!D274)</f>
        <v/>
      </c>
      <c r="E274" t="str">
        <f t="shared" si="16"/>
        <v/>
      </c>
      <c r="F274" t="str">
        <f t="shared" si="17"/>
        <v/>
      </c>
      <c r="G274" t="str">
        <f t="shared" si="18"/>
        <v/>
      </c>
      <c r="H274" t="str">
        <f t="shared" si="19"/>
        <v/>
      </c>
      <c r="J274" s="10" t="str">
        <f>[1]FINAL!B274</f>
        <v>Schlupp</v>
      </c>
      <c r="K274" t="str">
        <f>[1]FINAL!A274</f>
        <v>Jeffrey Schlupp</v>
      </c>
    </row>
    <row r="275" spans="1:11" x14ac:dyDescent="0.3">
      <c r="A275" t="str">
        <f>IF('[2]Transfer History'!A275=0,"",'[2]Transfer History'!A275)</f>
        <v/>
      </c>
      <c r="B275" t="str">
        <f>IF('[2]Transfer History'!B275=0,"",'[2]Transfer History'!B275)</f>
        <v/>
      </c>
      <c r="C275" t="str">
        <f>IF('[2]Transfer History'!C275=0,"",'[2]Transfer History'!C275)</f>
        <v/>
      </c>
      <c r="D275" t="str">
        <f>IF(OR('[2]Transfer History'!D275=0,'[2]Transfer History'!D275="GW"&amp;TEAMS!$J$3),"",'[2]Transfer History'!D275)</f>
        <v/>
      </c>
      <c r="E275" t="str">
        <f t="shared" si="16"/>
        <v/>
      </c>
      <c r="F275" t="str">
        <f t="shared" si="17"/>
        <v/>
      </c>
      <c r="G275" t="str">
        <f t="shared" si="18"/>
        <v/>
      </c>
      <c r="H275" t="str">
        <f t="shared" si="19"/>
        <v/>
      </c>
      <c r="J275" s="10" t="str">
        <f>[1]FINAL!B275</f>
        <v>Lerma</v>
      </c>
      <c r="K275" t="str">
        <f>[1]FINAL!A275</f>
        <v>Jefferson Lerma Solís</v>
      </c>
    </row>
    <row r="276" spans="1:11" x14ac:dyDescent="0.3">
      <c r="A276" t="str">
        <f>IF('[2]Transfer History'!A276=0,"",'[2]Transfer History'!A276)</f>
        <v/>
      </c>
      <c r="B276" t="str">
        <f>IF('[2]Transfer History'!B276=0,"",'[2]Transfer History'!B276)</f>
        <v/>
      </c>
      <c r="C276" t="str">
        <f>IF('[2]Transfer History'!C276=0,"",'[2]Transfer History'!C276)</f>
        <v/>
      </c>
      <c r="D276" t="str">
        <f>IF(OR('[2]Transfer History'!D276=0,'[2]Transfer History'!D276="GW"&amp;TEAMS!$J$3),"",'[2]Transfer History'!D276)</f>
        <v/>
      </c>
      <c r="E276" t="str">
        <f t="shared" si="16"/>
        <v/>
      </c>
      <c r="F276" t="str">
        <f t="shared" si="17"/>
        <v/>
      </c>
      <c r="G276" t="str">
        <f t="shared" si="18"/>
        <v/>
      </c>
      <c r="H276" t="str">
        <f t="shared" si="19"/>
        <v/>
      </c>
      <c r="J276" s="10" t="str">
        <f>[1]FINAL!B276</f>
        <v>Henderson</v>
      </c>
      <c r="K276" t="str">
        <f>[1]FINAL!A276</f>
        <v>Jordan Henderson</v>
      </c>
    </row>
    <row r="277" spans="1:11" x14ac:dyDescent="0.3">
      <c r="A277" t="str">
        <f>IF('[2]Transfer History'!A277=0,"",'[2]Transfer History'!A277)</f>
        <v/>
      </c>
      <c r="B277" t="str">
        <f>IF('[2]Transfer History'!B277=0,"",'[2]Transfer History'!B277)</f>
        <v/>
      </c>
      <c r="C277" t="str">
        <f>IF('[2]Transfer History'!C277=0,"",'[2]Transfer History'!C277)</f>
        <v/>
      </c>
      <c r="D277" t="str">
        <f>IF(OR('[2]Transfer History'!D277=0,'[2]Transfer History'!D277="GW"&amp;TEAMS!$J$3),"",'[2]Transfer History'!D277)</f>
        <v/>
      </c>
      <c r="E277" t="str">
        <f t="shared" si="16"/>
        <v/>
      </c>
      <c r="F277" t="str">
        <f t="shared" si="17"/>
        <v/>
      </c>
      <c r="G277" t="str">
        <f t="shared" si="18"/>
        <v/>
      </c>
      <c r="H277" t="str">
        <f t="shared" si="19"/>
        <v/>
      </c>
      <c r="J277" s="10" t="str">
        <f>[1]FINAL!B277</f>
        <v>Tanganga</v>
      </c>
      <c r="K277" t="str">
        <f>[1]FINAL!A277</f>
        <v>Japhet Tanganga</v>
      </c>
    </row>
    <row r="278" spans="1:11" x14ac:dyDescent="0.3">
      <c r="A278" t="str">
        <f>IF('[2]Transfer History'!A278=0,"",'[2]Transfer History'!A278)</f>
        <v/>
      </c>
      <c r="B278" t="str">
        <f>IF('[2]Transfer History'!B278=0,"",'[2]Transfer History'!B278)</f>
        <v/>
      </c>
      <c r="C278" t="str">
        <f>IF('[2]Transfer History'!C278=0,"",'[2]Transfer History'!C278)</f>
        <v/>
      </c>
      <c r="D278" t="str">
        <f>IF(OR('[2]Transfer History'!D278=0,'[2]Transfer History'!D278="GW"&amp;TEAMS!$J$3),"",'[2]Transfer History'!D278)</f>
        <v/>
      </c>
      <c r="E278" t="str">
        <f t="shared" si="16"/>
        <v/>
      </c>
      <c r="F278" t="str">
        <f t="shared" si="17"/>
        <v/>
      </c>
      <c r="G278" t="str">
        <f t="shared" si="18"/>
        <v/>
      </c>
      <c r="H278" t="str">
        <f t="shared" si="19"/>
        <v/>
      </c>
      <c r="J278" s="10" t="str">
        <f>[1]FINAL!B278</f>
        <v>Worrall</v>
      </c>
      <c r="K278" t="str">
        <f>[1]FINAL!A278</f>
        <v>Joe Worrall</v>
      </c>
    </row>
    <row r="279" spans="1:11" x14ac:dyDescent="0.3">
      <c r="A279" t="str">
        <f>IF('[2]Transfer History'!A279=0,"",'[2]Transfer History'!A279)</f>
        <v/>
      </c>
      <c r="B279" t="str">
        <f>IF('[2]Transfer History'!B279=0,"",'[2]Transfer History'!B279)</f>
        <v/>
      </c>
      <c r="C279" t="str">
        <f>IF('[2]Transfer History'!C279=0,"",'[2]Transfer History'!C279)</f>
        <v/>
      </c>
      <c r="D279" t="str">
        <f>IF(OR('[2]Transfer History'!D279=0,'[2]Transfer History'!D279="GW"&amp;TEAMS!$J$3),"",'[2]Transfer History'!D279)</f>
        <v/>
      </c>
      <c r="E279" t="str">
        <f t="shared" si="16"/>
        <v/>
      </c>
      <c r="F279" t="str">
        <f t="shared" si="17"/>
        <v/>
      </c>
      <c r="G279" t="str">
        <f t="shared" si="18"/>
        <v/>
      </c>
      <c r="H279" t="str">
        <f t="shared" si="19"/>
        <v/>
      </c>
      <c r="J279" s="10" t="str">
        <f>[1]FINAL!B279</f>
        <v>Baptiste</v>
      </c>
      <c r="K279" t="str">
        <f>[1]FINAL!A279</f>
        <v>Shandon Baptiste</v>
      </c>
    </row>
    <row r="280" spans="1:11" x14ac:dyDescent="0.3">
      <c r="A280" t="str">
        <f>IF('[2]Transfer History'!A280=0,"",'[2]Transfer History'!A280)</f>
        <v/>
      </c>
      <c r="B280" t="str">
        <f>IF('[2]Transfer History'!B280=0,"",'[2]Transfer History'!B280)</f>
        <v/>
      </c>
      <c r="C280" t="str">
        <f>IF('[2]Transfer History'!C280=0,"",'[2]Transfer History'!C280)</f>
        <v/>
      </c>
      <c r="D280" t="str">
        <f>IF(OR('[2]Transfer History'!D280=0,'[2]Transfer History'!D280="GW"&amp;TEAMS!$J$3),"",'[2]Transfer History'!D280)</f>
        <v/>
      </c>
      <c r="E280" t="str">
        <f t="shared" si="16"/>
        <v/>
      </c>
      <c r="F280" t="str">
        <f t="shared" si="17"/>
        <v/>
      </c>
      <c r="G280" t="str">
        <f t="shared" si="18"/>
        <v/>
      </c>
      <c r="H280" t="str">
        <f t="shared" si="19"/>
        <v/>
      </c>
      <c r="J280" s="10" t="str">
        <f>[1]FINAL!B280</f>
        <v>Gordon</v>
      </c>
      <c r="K280" t="str">
        <f>[1]FINAL!A280</f>
        <v>Anthony Gordon</v>
      </c>
    </row>
    <row r="281" spans="1:11" x14ac:dyDescent="0.3">
      <c r="A281" t="str">
        <f>IF('[2]Transfer History'!A281=0,"",'[2]Transfer History'!A281)</f>
        <v/>
      </c>
      <c r="B281" t="str">
        <f>IF('[2]Transfer History'!B281=0,"",'[2]Transfer History'!B281)</f>
        <v/>
      </c>
      <c r="C281" t="str">
        <f>IF('[2]Transfer History'!C281=0,"",'[2]Transfer History'!C281)</f>
        <v/>
      </c>
      <c r="D281" t="str">
        <f>IF(OR('[2]Transfer History'!D281=0,'[2]Transfer History'!D281="GW"&amp;TEAMS!$J$3),"",'[2]Transfer History'!D281)</f>
        <v/>
      </c>
      <c r="E281" t="str">
        <f t="shared" si="16"/>
        <v/>
      </c>
      <c r="F281" t="str">
        <f t="shared" si="17"/>
        <v/>
      </c>
      <c r="G281" t="str">
        <f t="shared" si="18"/>
        <v/>
      </c>
      <c r="H281" t="str">
        <f t="shared" si="19"/>
        <v/>
      </c>
      <c r="J281" s="10" t="str">
        <f>[1]FINAL!B281</f>
        <v>Onana</v>
      </c>
      <c r="K281" t="str">
        <f>[1]FINAL!A281</f>
        <v>Amadou Onana</v>
      </c>
    </row>
    <row r="282" spans="1:11" x14ac:dyDescent="0.3">
      <c r="A282" t="str">
        <f>IF('[2]Transfer History'!A282=0,"",'[2]Transfer History'!A282)</f>
        <v/>
      </c>
      <c r="B282" t="str">
        <f>IF('[2]Transfer History'!B282=0,"",'[2]Transfer History'!B282)</f>
        <v/>
      </c>
      <c r="C282" t="str">
        <f>IF('[2]Transfer History'!C282=0,"",'[2]Transfer History'!C282)</f>
        <v/>
      </c>
      <c r="D282" t="str">
        <f>IF(OR('[2]Transfer History'!D282=0,'[2]Transfer History'!D282="GW"&amp;TEAMS!$J$3),"",'[2]Transfer History'!D282)</f>
        <v/>
      </c>
      <c r="E282" t="str">
        <f t="shared" si="16"/>
        <v/>
      </c>
      <c r="F282" t="str">
        <f t="shared" si="17"/>
        <v/>
      </c>
      <c r="G282" t="str">
        <f t="shared" si="18"/>
        <v/>
      </c>
      <c r="H282" t="str">
        <f t="shared" si="19"/>
        <v/>
      </c>
      <c r="J282" s="10" t="str">
        <f>[1]FINAL!B282</f>
        <v>Jorginho</v>
      </c>
      <c r="K282" t="str">
        <f>[1]FINAL!A282</f>
        <v>Jorge Luiz Frello Filho</v>
      </c>
    </row>
    <row r="283" spans="1:11" x14ac:dyDescent="0.3">
      <c r="A283" t="str">
        <f>IF('[2]Transfer History'!A283=0,"",'[2]Transfer History'!A283)</f>
        <v/>
      </c>
      <c r="B283" t="str">
        <f>IF('[2]Transfer History'!B283=0,"",'[2]Transfer History'!B283)</f>
        <v/>
      </c>
      <c r="C283" t="str">
        <f>IF('[2]Transfer History'!C283=0,"",'[2]Transfer History'!C283)</f>
        <v/>
      </c>
      <c r="D283" t="str">
        <f>IF(OR('[2]Transfer History'!D283=0,'[2]Transfer History'!D283="GW"&amp;TEAMS!$J$3),"",'[2]Transfer History'!D283)</f>
        <v/>
      </c>
      <c r="E283" t="str">
        <f t="shared" si="16"/>
        <v/>
      </c>
      <c r="F283" t="str">
        <f t="shared" si="17"/>
        <v/>
      </c>
      <c r="G283" t="str">
        <f t="shared" si="18"/>
        <v/>
      </c>
      <c r="H283" t="str">
        <f t="shared" si="19"/>
        <v/>
      </c>
      <c r="J283" s="10" t="str">
        <f>[1]FINAL!B283</f>
        <v>Hennessey</v>
      </c>
      <c r="K283" t="str">
        <f>[1]FINAL!A283</f>
        <v>Wayne Hennessey</v>
      </c>
    </row>
    <row r="284" spans="1:11" x14ac:dyDescent="0.3">
      <c r="A284" t="str">
        <f>IF('[2]Transfer History'!A284=0,"",'[2]Transfer History'!A284)</f>
        <v/>
      </c>
      <c r="B284" t="str">
        <f>IF('[2]Transfer History'!B284=0,"",'[2]Transfer History'!B284)</f>
        <v/>
      </c>
      <c r="C284" t="str">
        <f>IF('[2]Transfer History'!C284=0,"",'[2]Transfer History'!C284)</f>
        <v/>
      </c>
      <c r="D284" t="str">
        <f>IF(OR('[2]Transfer History'!D284=0,'[2]Transfer History'!D284="GW"&amp;TEAMS!$J$3),"",'[2]Transfer History'!D284)</f>
        <v/>
      </c>
      <c r="E284" t="str">
        <f t="shared" si="16"/>
        <v/>
      </c>
      <c r="F284" t="str">
        <f t="shared" si="17"/>
        <v/>
      </c>
      <c r="G284" t="str">
        <f t="shared" si="18"/>
        <v/>
      </c>
      <c r="H284" t="str">
        <f t="shared" si="19"/>
        <v/>
      </c>
      <c r="J284" s="10" t="str">
        <f>[1]FINAL!B284</f>
        <v>Travers</v>
      </c>
      <c r="K284" t="str">
        <f>[1]FINAL!A284</f>
        <v>Mark Travers</v>
      </c>
    </row>
    <row r="285" spans="1:11" x14ac:dyDescent="0.3">
      <c r="A285" t="str">
        <f>IF('[2]Transfer History'!A285=0,"",'[2]Transfer History'!A285)</f>
        <v/>
      </c>
      <c r="B285" t="str">
        <f>IF('[2]Transfer History'!B285=0,"",'[2]Transfer History'!B285)</f>
        <v/>
      </c>
      <c r="C285" t="str">
        <f>IF('[2]Transfer History'!C285=0,"",'[2]Transfer History'!C285)</f>
        <v/>
      </c>
      <c r="D285" t="str">
        <f>IF(OR('[2]Transfer History'!D285=0,'[2]Transfer History'!D285="GW"&amp;TEAMS!$J$3),"",'[2]Transfer History'!D285)</f>
        <v/>
      </c>
      <c r="E285" t="str">
        <f t="shared" si="16"/>
        <v/>
      </c>
      <c r="F285" t="str">
        <f t="shared" si="17"/>
        <v/>
      </c>
      <c r="G285" t="str">
        <f t="shared" si="18"/>
        <v/>
      </c>
      <c r="H285" t="str">
        <f t="shared" si="19"/>
        <v/>
      </c>
      <c r="J285" s="10" t="str">
        <f>[1]FINAL!B285</f>
        <v>Robinson</v>
      </c>
      <c r="K285" t="str">
        <f>[1]FINAL!A285</f>
        <v>Antonee Robinson</v>
      </c>
    </row>
    <row r="286" spans="1:11" x14ac:dyDescent="0.3">
      <c r="A286" t="str">
        <f>IF('[2]Transfer History'!A286=0,"",'[2]Transfer History'!A286)</f>
        <v/>
      </c>
      <c r="B286" t="str">
        <f>IF('[2]Transfer History'!B286=0,"",'[2]Transfer History'!B286)</f>
        <v/>
      </c>
      <c r="C286" t="str">
        <f>IF('[2]Transfer History'!C286=0,"",'[2]Transfer History'!C286)</f>
        <v/>
      </c>
      <c r="D286" t="str">
        <f>IF(OR('[2]Transfer History'!D286=0,'[2]Transfer History'!D286="GW"&amp;TEAMS!$J$3),"",'[2]Transfer History'!D286)</f>
        <v/>
      </c>
      <c r="E286" t="str">
        <f t="shared" si="16"/>
        <v/>
      </c>
      <c r="F286" t="str">
        <f t="shared" si="17"/>
        <v/>
      </c>
      <c r="G286" t="str">
        <f t="shared" si="18"/>
        <v/>
      </c>
      <c r="H286" t="str">
        <f t="shared" si="19"/>
        <v/>
      </c>
      <c r="J286" s="10" t="str">
        <f>[1]FINAL!B286</f>
        <v>Areola</v>
      </c>
      <c r="K286" t="str">
        <f>[1]FINAL!A286</f>
        <v>Alphonse Areola</v>
      </c>
    </row>
    <row r="287" spans="1:11" x14ac:dyDescent="0.3">
      <c r="A287" t="str">
        <f>IF('[2]Transfer History'!A287=0,"",'[2]Transfer History'!A287)</f>
        <v/>
      </c>
      <c r="B287" t="str">
        <f>IF('[2]Transfer History'!B287=0,"",'[2]Transfer History'!B287)</f>
        <v/>
      </c>
      <c r="C287" t="str">
        <f>IF('[2]Transfer History'!C287=0,"",'[2]Transfer History'!C287)</f>
        <v/>
      </c>
      <c r="D287" t="str">
        <f>IF(OR('[2]Transfer History'!D287=0,'[2]Transfer History'!D287="GW"&amp;TEAMS!$J$3),"",'[2]Transfer History'!D287)</f>
        <v/>
      </c>
      <c r="E287" t="str">
        <f t="shared" si="16"/>
        <v/>
      </c>
      <c r="F287" t="str">
        <f t="shared" si="17"/>
        <v/>
      </c>
      <c r="G287" t="str">
        <f t="shared" si="18"/>
        <v/>
      </c>
      <c r="H287" t="str">
        <f t="shared" si="19"/>
        <v/>
      </c>
      <c r="J287" s="10" t="str">
        <f>[1]FINAL!B287</f>
        <v>Patterson</v>
      </c>
      <c r="K287" t="str">
        <f>[1]FINAL!A287</f>
        <v>Nathan Patterson</v>
      </c>
    </row>
    <row r="288" spans="1:11" x14ac:dyDescent="0.3">
      <c r="A288" t="str">
        <f>IF('[2]Transfer History'!A288=0,"",'[2]Transfer History'!A288)</f>
        <v/>
      </c>
      <c r="B288" t="str">
        <f>IF('[2]Transfer History'!B288=0,"",'[2]Transfer History'!B288)</f>
        <v/>
      </c>
      <c r="C288" t="str">
        <f>IF('[2]Transfer History'!C288=0,"",'[2]Transfer History'!C288)</f>
        <v/>
      </c>
      <c r="D288" t="str">
        <f>IF(OR('[2]Transfer History'!D288=0,'[2]Transfer History'!D288="GW"&amp;TEAMS!$J$3),"",'[2]Transfer History'!D288)</f>
        <v/>
      </c>
      <c r="E288" t="str">
        <f t="shared" si="16"/>
        <v/>
      </c>
      <c r="F288" t="str">
        <f t="shared" si="17"/>
        <v/>
      </c>
      <c r="G288" t="str">
        <f t="shared" si="18"/>
        <v/>
      </c>
      <c r="H288" t="str">
        <f t="shared" si="19"/>
        <v/>
      </c>
      <c r="J288" s="10" t="str">
        <f>[1]FINAL!B288</f>
        <v>McTominay</v>
      </c>
      <c r="K288" t="str">
        <f>[1]FINAL!A288</f>
        <v>Scott McTominay</v>
      </c>
    </row>
    <row r="289" spans="1:11" x14ac:dyDescent="0.3">
      <c r="A289" t="str">
        <f>IF('[2]Transfer History'!A289=0,"",'[2]Transfer History'!A289)</f>
        <v/>
      </c>
      <c r="B289" t="str">
        <f>IF('[2]Transfer History'!B289=0,"",'[2]Transfer History'!B289)</f>
        <v/>
      </c>
      <c r="C289" t="str">
        <f>IF('[2]Transfer History'!C289=0,"",'[2]Transfer History'!C289)</f>
        <v/>
      </c>
      <c r="D289" t="str">
        <f>IF(OR('[2]Transfer History'!D289=0,'[2]Transfer History'!D289="GW"&amp;TEAMS!$J$3),"",'[2]Transfer History'!D289)</f>
        <v/>
      </c>
      <c r="E289" t="str">
        <f t="shared" si="16"/>
        <v/>
      </c>
      <c r="F289" t="str">
        <f t="shared" si="17"/>
        <v/>
      </c>
      <c r="G289" t="str">
        <f t="shared" si="18"/>
        <v/>
      </c>
      <c r="H289" t="str">
        <f t="shared" si="19"/>
        <v/>
      </c>
      <c r="J289" s="10" t="str">
        <f>[1]FINAL!B289</f>
        <v>Mbabu</v>
      </c>
      <c r="K289" t="str">
        <f>[1]FINAL!A289</f>
        <v>Kevin Mbabu</v>
      </c>
    </row>
    <row r="290" spans="1:11" x14ac:dyDescent="0.3">
      <c r="A290" t="str">
        <f>IF('[2]Transfer History'!A290=0,"",'[2]Transfer History'!A290)</f>
        <v/>
      </c>
      <c r="B290" t="str">
        <f>IF('[2]Transfer History'!B290=0,"",'[2]Transfer History'!B290)</f>
        <v/>
      </c>
      <c r="C290" t="str">
        <f>IF('[2]Transfer History'!C290=0,"",'[2]Transfer History'!C290)</f>
        <v/>
      </c>
      <c r="D290" t="str">
        <f>IF(OR('[2]Transfer History'!D290=0,'[2]Transfer History'!D290="GW"&amp;TEAMS!$J$3),"",'[2]Transfer History'!D290)</f>
        <v/>
      </c>
      <c r="E290" t="str">
        <f t="shared" si="16"/>
        <v/>
      </c>
      <c r="F290" t="str">
        <f t="shared" si="17"/>
        <v/>
      </c>
      <c r="G290" t="str">
        <f t="shared" si="18"/>
        <v/>
      </c>
      <c r="H290" t="str">
        <f t="shared" si="19"/>
        <v/>
      </c>
      <c r="J290" s="10">
        <f>[1]FINAL!B290</f>
        <v>0</v>
      </c>
      <c r="K290" t="str">
        <f>[1]FINAL!A290</f>
        <v>Wout Weghorst</v>
      </c>
    </row>
    <row r="291" spans="1:11" x14ac:dyDescent="0.3">
      <c r="A291" t="str">
        <f>IF('[2]Transfer History'!A291=0,"",'[2]Transfer History'!A291)</f>
        <v/>
      </c>
      <c r="B291" t="str">
        <f>IF('[2]Transfer History'!B291=0,"",'[2]Transfer History'!B291)</f>
        <v/>
      </c>
      <c r="C291" t="str">
        <f>IF('[2]Transfer History'!C291=0,"",'[2]Transfer History'!C291)</f>
        <v/>
      </c>
      <c r="D291" t="str">
        <f>IF(OR('[2]Transfer History'!D291=0,'[2]Transfer History'!D291="GW"&amp;TEAMS!$J$3),"",'[2]Transfer History'!D291)</f>
        <v/>
      </c>
      <c r="E291" t="str">
        <f t="shared" si="16"/>
        <v/>
      </c>
      <c r="F291" t="str">
        <f t="shared" si="17"/>
        <v/>
      </c>
      <c r="G291" t="str">
        <f t="shared" si="18"/>
        <v/>
      </c>
      <c r="H291" t="str">
        <f t="shared" si="19"/>
        <v/>
      </c>
      <c r="J291" s="10" t="str">
        <f>[1]FINAL!B291</f>
        <v>Dendoncker</v>
      </c>
      <c r="K291" t="str">
        <f>[1]FINAL!A291</f>
        <v>Leander Dendoncker</v>
      </c>
    </row>
    <row r="292" spans="1:11" x14ac:dyDescent="0.3">
      <c r="A292" t="str">
        <f>IF('[2]Transfer History'!A292=0,"",'[2]Transfer History'!A292)</f>
        <v/>
      </c>
      <c r="B292" t="str">
        <f>IF('[2]Transfer History'!B292=0,"",'[2]Transfer History'!B292)</f>
        <v/>
      </c>
      <c r="C292" t="str">
        <f>IF('[2]Transfer History'!C292=0,"",'[2]Transfer History'!C292)</f>
        <v/>
      </c>
      <c r="D292" t="str">
        <f>IF(OR('[2]Transfer History'!D292=0,'[2]Transfer History'!D292="GW"&amp;TEAMS!$J$3),"",'[2]Transfer History'!D292)</f>
        <v/>
      </c>
      <c r="E292" t="str">
        <f t="shared" si="16"/>
        <v/>
      </c>
      <c r="F292" t="str">
        <f t="shared" si="17"/>
        <v/>
      </c>
      <c r="G292" t="str">
        <f t="shared" si="18"/>
        <v/>
      </c>
      <c r="H292" t="str">
        <f t="shared" si="19"/>
        <v/>
      </c>
      <c r="J292" s="10" t="str">
        <f>[1]FINAL!B292</f>
        <v>N.Semedo</v>
      </c>
      <c r="K292" t="str">
        <f>[1]FINAL!A292</f>
        <v>Nélson Cabral Semedo</v>
      </c>
    </row>
    <row r="293" spans="1:11" x14ac:dyDescent="0.3">
      <c r="A293" t="str">
        <f>IF('[2]Transfer History'!A293=0,"",'[2]Transfer History'!A293)</f>
        <v/>
      </c>
      <c r="B293" t="str">
        <f>IF('[2]Transfer History'!B293=0,"",'[2]Transfer History'!B293)</f>
        <v/>
      </c>
      <c r="C293" t="str">
        <f>IF('[2]Transfer History'!C293=0,"",'[2]Transfer History'!C293)</f>
        <v/>
      </c>
      <c r="D293" t="str">
        <f>IF(OR('[2]Transfer History'!D293=0,'[2]Transfer History'!D293="GW"&amp;TEAMS!$J$3),"",'[2]Transfer History'!D293)</f>
        <v/>
      </c>
      <c r="E293" t="str">
        <f t="shared" si="16"/>
        <v/>
      </c>
      <c r="F293" t="str">
        <f t="shared" si="17"/>
        <v/>
      </c>
      <c r="G293" t="str">
        <f t="shared" si="18"/>
        <v/>
      </c>
      <c r="H293" t="str">
        <f t="shared" si="19"/>
        <v/>
      </c>
      <c r="J293" s="10" t="str">
        <f>[1]FINAL!B293</f>
        <v>Sarr</v>
      </c>
      <c r="K293" t="str">
        <f>[1]FINAL!A293</f>
        <v>Pape Matar Sarr</v>
      </c>
    </row>
    <row r="294" spans="1:11" x14ac:dyDescent="0.3">
      <c r="A294" t="str">
        <f>IF('[2]Transfer History'!A294=0,"",'[2]Transfer History'!A294)</f>
        <v/>
      </c>
      <c r="B294" t="str">
        <f>IF('[2]Transfer History'!B294=0,"",'[2]Transfer History'!B294)</f>
        <v/>
      </c>
      <c r="C294" t="str">
        <f>IF('[2]Transfer History'!C294=0,"",'[2]Transfer History'!C294)</f>
        <v/>
      </c>
      <c r="D294" t="str">
        <f>IF(OR('[2]Transfer History'!D294=0,'[2]Transfer History'!D294="GW"&amp;TEAMS!$J$3),"",'[2]Transfer History'!D294)</f>
        <v/>
      </c>
      <c r="E294" t="str">
        <f t="shared" si="16"/>
        <v/>
      </c>
      <c r="F294" t="str">
        <f t="shared" si="17"/>
        <v/>
      </c>
      <c r="G294" t="str">
        <f t="shared" si="18"/>
        <v/>
      </c>
      <c r="H294" t="str">
        <f t="shared" si="19"/>
        <v/>
      </c>
      <c r="J294" s="10" t="str">
        <f>[1]FINAL!B294</f>
        <v>Tosin</v>
      </c>
      <c r="K294" t="str">
        <f>[1]FINAL!A294</f>
        <v>Tosin Adarabioyo</v>
      </c>
    </row>
    <row r="295" spans="1:11" x14ac:dyDescent="0.3">
      <c r="A295" t="str">
        <f>IF('[2]Transfer History'!A295=0,"",'[2]Transfer History'!A295)</f>
        <v/>
      </c>
      <c r="B295" t="str">
        <f>IF('[2]Transfer History'!B295=0,"",'[2]Transfer History'!B295)</f>
        <v/>
      </c>
      <c r="C295" t="str">
        <f>IF('[2]Transfer History'!C295=0,"",'[2]Transfer History'!C295)</f>
        <v/>
      </c>
      <c r="D295" t="str">
        <f>IF(OR('[2]Transfer History'!D295=0,'[2]Transfer History'!D295="GW"&amp;TEAMS!$J$3),"",'[2]Transfer History'!D295)</f>
        <v/>
      </c>
      <c r="E295" t="str">
        <f t="shared" si="16"/>
        <v/>
      </c>
      <c r="F295" t="str">
        <f t="shared" si="17"/>
        <v/>
      </c>
      <c r="G295" t="str">
        <f t="shared" si="18"/>
        <v/>
      </c>
      <c r="H295" t="str">
        <f t="shared" si="19"/>
        <v/>
      </c>
      <c r="J295" s="10" t="str">
        <f>[1]FINAL!B295</f>
        <v>Van de Beek</v>
      </c>
      <c r="K295" t="str">
        <f>[1]FINAL!A295</f>
        <v>Donny van de Beek</v>
      </c>
    </row>
    <row r="296" spans="1:11" x14ac:dyDescent="0.3">
      <c r="A296" t="str">
        <f>IF('[2]Transfer History'!A296=0,"",'[2]Transfer History'!A296)</f>
        <v/>
      </c>
      <c r="B296" t="str">
        <f>IF('[2]Transfer History'!B296=0,"",'[2]Transfer History'!B296)</f>
        <v/>
      </c>
      <c r="C296" t="str">
        <f>IF('[2]Transfer History'!C296=0,"",'[2]Transfer History'!C296)</f>
        <v/>
      </c>
      <c r="D296" t="str">
        <f>IF(OR('[2]Transfer History'!D296=0,'[2]Transfer History'!D296="GW"&amp;TEAMS!$J$3),"",'[2]Transfer History'!D296)</f>
        <v/>
      </c>
      <c r="E296" t="str">
        <f t="shared" si="16"/>
        <v/>
      </c>
      <c r="F296" t="str">
        <f t="shared" si="17"/>
        <v/>
      </c>
      <c r="G296" t="str">
        <f t="shared" si="18"/>
        <v/>
      </c>
      <c r="H296" t="str">
        <f t="shared" si="19"/>
        <v/>
      </c>
      <c r="J296" s="10" t="str">
        <f>[1]FINAL!B296</f>
        <v>Smith</v>
      </c>
      <c r="K296" t="str">
        <f>[1]FINAL!A296</f>
        <v>Adam Smith</v>
      </c>
    </row>
    <row r="297" spans="1:11" x14ac:dyDescent="0.3">
      <c r="A297" t="str">
        <f>IF('[2]Transfer History'!A297=0,"",'[2]Transfer History'!A297)</f>
        <v/>
      </c>
      <c r="B297" t="str">
        <f>IF('[2]Transfer History'!B297=0,"",'[2]Transfer History'!B297)</f>
        <v/>
      </c>
      <c r="C297" t="str">
        <f>IF('[2]Transfer History'!C297=0,"",'[2]Transfer History'!C297)</f>
        <v/>
      </c>
      <c r="D297" t="str">
        <f>IF(OR('[2]Transfer History'!D297=0,'[2]Transfer History'!D297="GW"&amp;TEAMS!$J$3),"",'[2]Transfer History'!D297)</f>
        <v/>
      </c>
      <c r="E297" t="str">
        <f t="shared" si="16"/>
        <v/>
      </c>
      <c r="F297" t="str">
        <f t="shared" si="17"/>
        <v/>
      </c>
      <c r="G297" t="str">
        <f t="shared" si="18"/>
        <v/>
      </c>
      <c r="H297" t="str">
        <f t="shared" si="19"/>
        <v/>
      </c>
      <c r="J297" s="10" t="str">
        <f>[1]FINAL!B297</f>
        <v>Fraser</v>
      </c>
      <c r="K297" t="str">
        <f>[1]FINAL!A297</f>
        <v>Ryan Fraser</v>
      </c>
    </row>
    <row r="298" spans="1:11" x14ac:dyDescent="0.3">
      <c r="A298" t="str">
        <f>IF('[2]Transfer History'!A298=0,"",'[2]Transfer History'!A298)</f>
        <v/>
      </c>
      <c r="B298" t="str">
        <f>IF('[2]Transfer History'!B298=0,"",'[2]Transfer History'!B298)</f>
        <v/>
      </c>
      <c r="C298" t="str">
        <f>IF('[2]Transfer History'!C298=0,"",'[2]Transfer History'!C298)</f>
        <v/>
      </c>
      <c r="D298" t="str">
        <f>IF(OR('[2]Transfer History'!D298=0,'[2]Transfer History'!D298="GW"&amp;TEAMS!$J$3),"",'[2]Transfer History'!D298)</f>
        <v/>
      </c>
      <c r="E298" t="str">
        <f t="shared" si="16"/>
        <v/>
      </c>
      <c r="F298" t="str">
        <f t="shared" si="17"/>
        <v/>
      </c>
      <c r="G298" t="str">
        <f t="shared" si="18"/>
        <v/>
      </c>
      <c r="H298" t="str">
        <f t="shared" si="19"/>
        <v/>
      </c>
      <c r="J298" s="10" t="str">
        <f>[1]FINAL!B298</f>
        <v>Yates</v>
      </c>
      <c r="K298" t="str">
        <f>[1]FINAL!A298</f>
        <v>Ryan Yates</v>
      </c>
    </row>
    <row r="299" spans="1:11" x14ac:dyDescent="0.3">
      <c r="A299" t="str">
        <f>IF('[2]Transfer History'!A299=0,"",'[2]Transfer History'!A299)</f>
        <v/>
      </c>
      <c r="B299" t="str">
        <f>IF('[2]Transfer History'!B299=0,"",'[2]Transfer History'!B299)</f>
        <v/>
      </c>
      <c r="C299" t="str">
        <f>IF('[2]Transfer History'!C299=0,"",'[2]Transfer History'!C299)</f>
        <v/>
      </c>
      <c r="D299" t="str">
        <f>IF(OR('[2]Transfer History'!D299=0,'[2]Transfer History'!D299="GW"&amp;TEAMS!$J$3),"",'[2]Transfer History'!D299)</f>
        <v/>
      </c>
      <c r="E299" t="str">
        <f t="shared" si="16"/>
        <v/>
      </c>
      <c r="F299" t="str">
        <f t="shared" si="17"/>
        <v/>
      </c>
      <c r="G299" t="str">
        <f t="shared" si="18"/>
        <v/>
      </c>
      <c r="H299" t="str">
        <f t="shared" si="19"/>
        <v/>
      </c>
      <c r="J299" s="10" t="str">
        <f>[1]FINAL!B299</f>
        <v>Mepham</v>
      </c>
      <c r="K299" t="str">
        <f>[1]FINAL!A299</f>
        <v>Chris Mepham</v>
      </c>
    </row>
    <row r="300" spans="1:11" x14ac:dyDescent="0.3">
      <c r="A300" t="str">
        <f>IF('[2]Transfer History'!A300=0,"",'[2]Transfer History'!A300)</f>
        <v/>
      </c>
      <c r="B300" t="str">
        <f>IF('[2]Transfer History'!B300=0,"",'[2]Transfer History'!B300)</f>
        <v/>
      </c>
      <c r="C300" t="str">
        <f>IF('[2]Transfer History'!C300=0,"",'[2]Transfer History'!C300)</f>
        <v/>
      </c>
      <c r="D300" t="str">
        <f>IF(OR('[2]Transfer History'!D300=0,'[2]Transfer History'!D300="GW"&amp;TEAMS!$J$3),"",'[2]Transfer History'!D300)</f>
        <v/>
      </c>
      <c r="E300" t="str">
        <f t="shared" si="16"/>
        <v/>
      </c>
      <c r="F300" t="str">
        <f t="shared" si="17"/>
        <v/>
      </c>
      <c r="G300" t="str">
        <f t="shared" si="18"/>
        <v/>
      </c>
      <c r="H300" t="str">
        <f t="shared" si="19"/>
        <v/>
      </c>
      <c r="J300" s="10" t="str">
        <f>[1]FINAL!B300</f>
        <v>McKenna</v>
      </c>
      <c r="K300" t="str">
        <f>[1]FINAL!A300</f>
        <v>Scott McKenna</v>
      </c>
    </row>
    <row r="301" spans="1:11" x14ac:dyDescent="0.3">
      <c r="A301" t="str">
        <f>IF('[2]Transfer History'!A301=0,"",'[2]Transfer History'!A301)</f>
        <v/>
      </c>
      <c r="B301" t="str">
        <f>IF('[2]Transfer History'!B301=0,"",'[2]Transfer History'!B301)</f>
        <v/>
      </c>
      <c r="C301" t="str">
        <f>IF('[2]Transfer History'!C301=0,"",'[2]Transfer History'!C301)</f>
        <v/>
      </c>
      <c r="D301" t="str">
        <f>IF(OR('[2]Transfer History'!D301=0,'[2]Transfer History'!D301="GW"&amp;TEAMS!$J$3),"",'[2]Transfer History'!D301)</f>
        <v/>
      </c>
      <c r="E301" t="str">
        <f t="shared" si="16"/>
        <v/>
      </c>
      <c r="F301" t="str">
        <f t="shared" si="17"/>
        <v/>
      </c>
      <c r="G301" t="str">
        <f t="shared" si="18"/>
        <v/>
      </c>
      <c r="H301" t="str">
        <f t="shared" si="19"/>
        <v/>
      </c>
      <c r="J301" s="10" t="str">
        <f>[1]FINAL!B301</f>
        <v>Kouyaté</v>
      </c>
      <c r="K301" t="str">
        <f>[1]FINAL!A301</f>
        <v>Cheikhou Kouyaté</v>
      </c>
    </row>
    <row r="302" spans="1:11" x14ac:dyDescent="0.3">
      <c r="A302" t="str">
        <f>IF('[2]Transfer History'!A302=0,"",'[2]Transfer History'!A302)</f>
        <v/>
      </c>
      <c r="B302" t="str">
        <f>IF('[2]Transfer History'!B302=0,"",'[2]Transfer History'!B302)</f>
        <v/>
      </c>
      <c r="C302" t="str">
        <f>IF('[2]Transfer History'!C302=0,"",'[2]Transfer History'!C302)</f>
        <v/>
      </c>
      <c r="D302" t="str">
        <f>IF(OR('[2]Transfer History'!D302=0,'[2]Transfer History'!D302="GW"&amp;TEAMS!$J$3),"",'[2]Transfer History'!D302)</f>
        <v/>
      </c>
      <c r="E302" t="str">
        <f t="shared" si="16"/>
        <v/>
      </c>
      <c r="F302" t="str">
        <f t="shared" si="17"/>
        <v/>
      </c>
      <c r="G302" t="str">
        <f t="shared" si="18"/>
        <v/>
      </c>
      <c r="H302" t="str">
        <f t="shared" si="19"/>
        <v/>
      </c>
      <c r="J302" s="10" t="str">
        <f>[1]FINAL!B302</f>
        <v>L.Cook</v>
      </c>
      <c r="K302" t="str">
        <f>[1]FINAL!A302</f>
        <v>Lewis Cook</v>
      </c>
    </row>
    <row r="303" spans="1:11" x14ac:dyDescent="0.3">
      <c r="A303" t="str">
        <f>IF('[2]Transfer History'!A303=0,"",'[2]Transfer History'!A303)</f>
        <v/>
      </c>
      <c r="B303" t="str">
        <f>IF('[2]Transfer History'!B303=0,"",'[2]Transfer History'!B303)</f>
        <v/>
      </c>
      <c r="C303" t="str">
        <f>IF('[2]Transfer History'!C303=0,"",'[2]Transfer History'!C303)</f>
        <v/>
      </c>
      <c r="D303" t="str">
        <f>IF(OR('[2]Transfer History'!D303=0,'[2]Transfer History'!D303="GW"&amp;TEAMS!$J$3),"",'[2]Transfer History'!D303)</f>
        <v/>
      </c>
      <c r="E303" t="str">
        <f t="shared" si="16"/>
        <v/>
      </c>
      <c r="F303" t="str">
        <f t="shared" si="17"/>
        <v/>
      </c>
      <c r="G303" t="str">
        <f t="shared" si="18"/>
        <v/>
      </c>
      <c r="H303" t="str">
        <f t="shared" si="19"/>
        <v/>
      </c>
      <c r="J303" s="10" t="str">
        <f>[1]FINAL!B303</f>
        <v>Downes</v>
      </c>
      <c r="K303" t="str">
        <f>[1]FINAL!A303</f>
        <v>Flynn Downes</v>
      </c>
    </row>
    <row r="304" spans="1:11" x14ac:dyDescent="0.3">
      <c r="A304" t="str">
        <f>IF('[2]Transfer History'!A304=0,"",'[2]Transfer History'!A304)</f>
        <v/>
      </c>
      <c r="B304" t="str">
        <f>IF('[2]Transfer History'!B304=0,"",'[2]Transfer History'!B304)</f>
        <v/>
      </c>
      <c r="C304" t="str">
        <f>IF('[2]Transfer History'!C304=0,"",'[2]Transfer History'!C304)</f>
        <v/>
      </c>
      <c r="D304" t="str">
        <f>IF(OR('[2]Transfer History'!D304=0,'[2]Transfer History'!D304="GW"&amp;TEAMS!$J$3),"",'[2]Transfer History'!D304)</f>
        <v/>
      </c>
      <c r="E304" t="str">
        <f t="shared" si="16"/>
        <v/>
      </c>
      <c r="F304" t="str">
        <f t="shared" si="17"/>
        <v/>
      </c>
      <c r="G304" t="str">
        <f t="shared" si="18"/>
        <v/>
      </c>
      <c r="H304" t="str">
        <f t="shared" si="19"/>
        <v/>
      </c>
      <c r="J304" s="10" t="str">
        <f>[1]FINAL!B304</f>
        <v>O'Brien</v>
      </c>
      <c r="K304" t="str">
        <f>[1]FINAL!A304</f>
        <v>Lewis O'Brien</v>
      </c>
    </row>
    <row r="305" spans="1:11" x14ac:dyDescent="0.3">
      <c r="A305" t="str">
        <f>IF('[2]Transfer History'!A305=0,"",'[2]Transfer History'!A305)</f>
        <v/>
      </c>
      <c r="B305" t="str">
        <f>IF('[2]Transfer History'!B305=0,"",'[2]Transfer History'!B305)</f>
        <v/>
      </c>
      <c r="C305" t="str">
        <f>IF('[2]Transfer History'!C305=0,"",'[2]Transfer History'!C305)</f>
        <v/>
      </c>
      <c r="D305" t="str">
        <f>IF(OR('[2]Transfer History'!D305=0,'[2]Transfer History'!D305="GW"&amp;TEAMS!$J$3),"",'[2]Transfer History'!D305)</f>
        <v/>
      </c>
      <c r="E305" t="str">
        <f t="shared" si="16"/>
        <v/>
      </c>
      <c r="F305" t="str">
        <f t="shared" si="17"/>
        <v/>
      </c>
      <c r="G305" t="str">
        <f t="shared" si="18"/>
        <v/>
      </c>
      <c r="H305" t="str">
        <f t="shared" si="19"/>
        <v/>
      </c>
      <c r="J305" s="10" t="str">
        <f>[1]FINAL!B305</f>
        <v>Caicedo</v>
      </c>
      <c r="K305" t="str">
        <f>[1]FINAL!A305</f>
        <v>Moisés Caicedo Corozo</v>
      </c>
    </row>
    <row r="306" spans="1:11" x14ac:dyDescent="0.3">
      <c r="A306" t="str">
        <f>IF('[2]Transfer History'!A306=0,"",'[2]Transfer History'!A306)</f>
        <v/>
      </c>
      <c r="B306" t="str">
        <f>IF('[2]Transfer History'!B306=0,"",'[2]Transfer History'!B306)</f>
        <v/>
      </c>
      <c r="C306" t="str">
        <f>IF('[2]Transfer History'!C306=0,"",'[2]Transfer History'!C306)</f>
        <v/>
      </c>
      <c r="D306" t="str">
        <f>IF(OR('[2]Transfer History'!D306=0,'[2]Transfer History'!D306="GW"&amp;TEAMS!$J$3),"",'[2]Transfer History'!D306)</f>
        <v/>
      </c>
      <c r="E306" t="str">
        <f t="shared" si="16"/>
        <v/>
      </c>
      <c r="F306" t="str">
        <f t="shared" si="17"/>
        <v/>
      </c>
      <c r="G306" t="str">
        <f t="shared" si="18"/>
        <v/>
      </c>
      <c r="H306" t="str">
        <f t="shared" si="19"/>
        <v/>
      </c>
      <c r="J306" s="10" t="str">
        <f>[1]FINAL!B306</f>
        <v>Fredericks</v>
      </c>
      <c r="K306" t="str">
        <f>[1]FINAL!A306</f>
        <v>Ryan Fredericks</v>
      </c>
    </row>
    <row r="307" spans="1:11" x14ac:dyDescent="0.3">
      <c r="A307" t="str">
        <f>IF('[2]Transfer History'!A307=0,"",'[2]Transfer History'!A307)</f>
        <v/>
      </c>
      <c r="B307" t="str">
        <f>IF('[2]Transfer History'!B307=0,"",'[2]Transfer History'!B307)</f>
        <v/>
      </c>
      <c r="C307" t="str">
        <f>IF('[2]Transfer History'!C307=0,"",'[2]Transfer History'!C307)</f>
        <v/>
      </c>
      <c r="D307" t="str">
        <f>IF(OR('[2]Transfer History'!D307=0,'[2]Transfer History'!D307="GW"&amp;TEAMS!$J$3),"",'[2]Transfer History'!D307)</f>
        <v/>
      </c>
      <c r="E307" t="str">
        <f t="shared" si="16"/>
        <v/>
      </c>
      <c r="F307" t="str">
        <f t="shared" si="17"/>
        <v/>
      </c>
      <c r="G307" t="str">
        <f t="shared" si="18"/>
        <v/>
      </c>
      <c r="H307" t="str">
        <f t="shared" si="19"/>
        <v/>
      </c>
      <c r="J307" s="10" t="str">
        <f>[1]FINAL!B307</f>
        <v>Sambi</v>
      </c>
      <c r="K307" t="str">
        <f>[1]FINAL!A307</f>
        <v>Albert Sambi Lokonga</v>
      </c>
    </row>
    <row r="308" spans="1:11" x14ac:dyDescent="0.3">
      <c r="A308" t="str">
        <f>IF('[2]Transfer History'!A308=0,"",'[2]Transfer History'!A308)</f>
        <v/>
      </c>
      <c r="B308" t="str">
        <f>IF('[2]Transfer History'!B308=0,"",'[2]Transfer History'!B308)</f>
        <v/>
      </c>
      <c r="C308" t="str">
        <f>IF('[2]Transfer History'!C308=0,"",'[2]Transfer History'!C308)</f>
        <v/>
      </c>
      <c r="D308" t="str">
        <f>IF(OR('[2]Transfer History'!D308=0,'[2]Transfer History'!D308="GW"&amp;TEAMS!$J$3),"",'[2]Transfer History'!D308)</f>
        <v/>
      </c>
      <c r="E308" t="str">
        <f t="shared" si="16"/>
        <v/>
      </c>
      <c r="F308" t="str">
        <f t="shared" si="17"/>
        <v/>
      </c>
      <c r="G308" t="str">
        <f t="shared" si="18"/>
        <v/>
      </c>
      <c r="H308" t="str">
        <f t="shared" si="19"/>
        <v/>
      </c>
      <c r="J308" s="10" t="str">
        <f>[1]FINAL!B308</f>
        <v>J.Palhinha</v>
      </c>
      <c r="K308" t="str">
        <f>[1]FINAL!A308</f>
        <v>João Palhinha Gonçalves</v>
      </c>
    </row>
    <row r="309" spans="1:11" x14ac:dyDescent="0.3">
      <c r="A309" t="str">
        <f>IF('[2]Transfer History'!A309=0,"",'[2]Transfer History'!A309)</f>
        <v/>
      </c>
      <c r="B309" t="str">
        <f>IF('[2]Transfer History'!B309=0,"",'[2]Transfer History'!B309)</f>
        <v/>
      </c>
      <c r="C309" t="str">
        <f>IF('[2]Transfer History'!C309=0,"",'[2]Transfer History'!C309)</f>
        <v/>
      </c>
      <c r="D309" t="str">
        <f>IF(OR('[2]Transfer History'!D309=0,'[2]Transfer History'!D309="GW"&amp;TEAMS!$J$3),"",'[2]Transfer History'!D309)</f>
        <v/>
      </c>
      <c r="E309" t="str">
        <f t="shared" si="16"/>
        <v/>
      </c>
      <c r="F309" t="str">
        <f t="shared" si="17"/>
        <v/>
      </c>
      <c r="G309" t="str">
        <f t="shared" si="18"/>
        <v/>
      </c>
      <c r="H309" t="str">
        <f t="shared" si="19"/>
        <v/>
      </c>
      <c r="J309" s="10" t="str">
        <f>[1]FINAL!B309</f>
        <v>Rothwell</v>
      </c>
      <c r="K309" t="str">
        <f>[1]FINAL!A309</f>
        <v>Joe Rothwell</v>
      </c>
    </row>
    <row r="310" spans="1:11" x14ac:dyDescent="0.3">
      <c r="A310" t="str">
        <f>IF('[2]Transfer History'!A310=0,"",'[2]Transfer History'!A310)</f>
        <v/>
      </c>
      <c r="B310" t="str">
        <f>IF('[2]Transfer History'!B310=0,"",'[2]Transfer History'!B310)</f>
        <v/>
      </c>
      <c r="C310" t="str">
        <f>IF('[2]Transfer History'!C310=0,"",'[2]Transfer History'!C310)</f>
        <v/>
      </c>
      <c r="D310" t="str">
        <f>IF(OR('[2]Transfer History'!D310=0,'[2]Transfer History'!D310="GW"&amp;TEAMS!$J$3),"",'[2]Transfer History'!D310)</f>
        <v/>
      </c>
      <c r="E310" t="str">
        <f t="shared" si="16"/>
        <v/>
      </c>
      <c r="F310" t="str">
        <f t="shared" si="17"/>
        <v/>
      </c>
      <c r="G310" t="str">
        <f t="shared" si="18"/>
        <v/>
      </c>
      <c r="H310" t="str">
        <f t="shared" si="19"/>
        <v/>
      </c>
      <c r="J310" s="10" t="str">
        <f>[1]FINAL!B310</f>
        <v>C.Doucouré</v>
      </c>
      <c r="K310" t="str">
        <f>[1]FINAL!A310</f>
        <v>Cheick Doucouré</v>
      </c>
    </row>
    <row r="311" spans="1:11" x14ac:dyDescent="0.3">
      <c r="A311" t="str">
        <f>IF('[2]Transfer History'!A311=0,"",'[2]Transfer History'!A311)</f>
        <v/>
      </c>
      <c r="B311" t="str">
        <f>IF('[2]Transfer History'!B311=0,"",'[2]Transfer History'!B311)</f>
        <v/>
      </c>
      <c r="C311" t="str">
        <f>IF('[2]Transfer History'!C311=0,"",'[2]Transfer History'!C311)</f>
        <v/>
      </c>
      <c r="D311" t="str">
        <f>IF(OR('[2]Transfer History'!D311=0,'[2]Transfer History'!D311="GW"&amp;TEAMS!$J$3),"",'[2]Transfer History'!D311)</f>
        <v/>
      </c>
      <c r="E311" t="str">
        <f t="shared" si="16"/>
        <v/>
      </c>
      <c r="F311" t="str">
        <f t="shared" si="17"/>
        <v/>
      </c>
      <c r="G311" t="str">
        <f t="shared" si="18"/>
        <v/>
      </c>
      <c r="H311" t="str">
        <f t="shared" si="19"/>
        <v/>
      </c>
      <c r="J311" s="10" t="str">
        <f>[1]FINAL!B311</f>
        <v>Cook</v>
      </c>
      <c r="K311" t="str">
        <f>[1]FINAL!A311</f>
        <v>Steve Cook</v>
      </c>
    </row>
    <row r="312" spans="1:11" x14ac:dyDescent="0.3">
      <c r="A312" t="str">
        <f>IF('[2]Transfer History'!A312=0,"",'[2]Transfer History'!A312)</f>
        <v/>
      </c>
      <c r="B312" t="str">
        <f>IF('[2]Transfer History'!B312=0,"",'[2]Transfer History'!B312)</f>
        <v/>
      </c>
      <c r="C312" t="str">
        <f>IF('[2]Transfer History'!C312=0,"",'[2]Transfer History'!C312)</f>
        <v/>
      </c>
      <c r="D312" t="str">
        <f>IF(OR('[2]Transfer History'!D312=0,'[2]Transfer History'!D312="GW"&amp;TEAMS!$J$3),"",'[2]Transfer History'!D312)</f>
        <v/>
      </c>
      <c r="E312" t="str">
        <f t="shared" si="16"/>
        <v/>
      </c>
      <c r="F312" t="str">
        <f t="shared" si="17"/>
        <v/>
      </c>
      <c r="G312" t="str">
        <f t="shared" si="18"/>
        <v/>
      </c>
      <c r="H312" t="str">
        <f t="shared" si="19"/>
        <v/>
      </c>
      <c r="J312" s="10" t="str">
        <f>[1]FINAL!B312</f>
        <v>Thiago</v>
      </c>
      <c r="K312" t="str">
        <f>[1]FINAL!A312</f>
        <v>Thiago Alcántara do Nascimento</v>
      </c>
    </row>
    <row r="313" spans="1:11" x14ac:dyDescent="0.3">
      <c r="A313" t="str">
        <f>IF('[2]Transfer History'!A313=0,"",'[2]Transfer History'!A313)</f>
        <v/>
      </c>
      <c r="B313" t="str">
        <f>IF('[2]Transfer History'!B313=0,"",'[2]Transfer History'!B313)</f>
        <v/>
      </c>
      <c r="C313" t="str">
        <f>IF('[2]Transfer History'!C313=0,"",'[2]Transfer History'!C313)</f>
        <v/>
      </c>
      <c r="D313" t="str">
        <f>IF(OR('[2]Transfer History'!D313=0,'[2]Transfer History'!D313="GW"&amp;TEAMS!$J$3),"",'[2]Transfer History'!D313)</f>
        <v/>
      </c>
      <c r="E313" t="str">
        <f t="shared" si="16"/>
        <v/>
      </c>
      <c r="F313" t="str">
        <f t="shared" si="17"/>
        <v/>
      </c>
      <c r="G313" t="str">
        <f t="shared" si="18"/>
        <v/>
      </c>
      <c r="H313" t="str">
        <f t="shared" si="19"/>
        <v/>
      </c>
      <c r="J313" s="10" t="str">
        <f>[1]FINAL!B313</f>
        <v>Neto</v>
      </c>
      <c r="K313" t="str">
        <f>[1]FINAL!A313</f>
        <v>Pedro Lomba Neto</v>
      </c>
    </row>
    <row r="314" spans="1:11" x14ac:dyDescent="0.3">
      <c r="A314" t="str">
        <f>IF('[2]Transfer History'!A314=0,"",'[2]Transfer History'!A314)</f>
        <v/>
      </c>
      <c r="B314" t="str">
        <f>IF('[2]Transfer History'!B314=0,"",'[2]Transfer History'!B314)</f>
        <v/>
      </c>
      <c r="C314" t="str">
        <f>IF('[2]Transfer History'!C314=0,"",'[2]Transfer History'!C314)</f>
        <v/>
      </c>
      <c r="D314" t="str">
        <f>IF(OR('[2]Transfer History'!D314=0,'[2]Transfer History'!D314="GW"&amp;TEAMS!$J$3),"",'[2]Transfer History'!D314)</f>
        <v/>
      </c>
      <c r="E314" t="str">
        <f t="shared" si="16"/>
        <v/>
      </c>
      <c r="F314" t="str">
        <f t="shared" si="17"/>
        <v/>
      </c>
      <c r="G314" t="str">
        <f t="shared" si="18"/>
        <v/>
      </c>
      <c r="H314" t="str">
        <f t="shared" si="19"/>
        <v/>
      </c>
      <c r="J314" s="10" t="str">
        <f>[1]FINAL!B314</f>
        <v>Brooks</v>
      </c>
      <c r="K314" t="str">
        <f>[1]FINAL!A314</f>
        <v>David Brooks</v>
      </c>
    </row>
    <row r="315" spans="1:11" x14ac:dyDescent="0.3">
      <c r="A315" t="str">
        <f>IF('[2]Transfer History'!A315=0,"",'[2]Transfer History'!A315)</f>
        <v/>
      </c>
      <c r="B315" t="str">
        <f>IF('[2]Transfer History'!B315=0,"",'[2]Transfer History'!B315)</f>
        <v/>
      </c>
      <c r="C315" t="str">
        <f>IF('[2]Transfer History'!C315=0,"",'[2]Transfer History'!C315)</f>
        <v/>
      </c>
      <c r="D315" t="str">
        <f>IF(OR('[2]Transfer History'!D315=0,'[2]Transfer History'!D315="GW"&amp;TEAMS!$J$3),"",'[2]Transfer History'!D315)</f>
        <v/>
      </c>
      <c r="E315" t="str">
        <f t="shared" si="16"/>
        <v/>
      </c>
      <c r="F315" t="str">
        <f t="shared" si="17"/>
        <v/>
      </c>
      <c r="G315" t="str">
        <f t="shared" si="18"/>
        <v/>
      </c>
      <c r="H315" t="str">
        <f t="shared" si="19"/>
        <v/>
      </c>
      <c r="J315" s="10" t="str">
        <f>[1]FINAL!B315</f>
        <v>Mangala</v>
      </c>
      <c r="K315" t="str">
        <f>[1]FINAL!A315</f>
        <v>Orel Mangala</v>
      </c>
    </row>
    <row r="316" spans="1:11" x14ac:dyDescent="0.3">
      <c r="A316" t="str">
        <f>IF('[2]Transfer History'!A316=0,"",'[2]Transfer History'!A316)</f>
        <v/>
      </c>
      <c r="B316" t="str">
        <f>IF('[2]Transfer History'!B316=0,"",'[2]Transfer History'!B316)</f>
        <v/>
      </c>
      <c r="C316" t="str">
        <f>IF('[2]Transfer History'!C316=0,"",'[2]Transfer History'!C316)</f>
        <v/>
      </c>
      <c r="D316" t="str">
        <f>IF(OR('[2]Transfer History'!D316=0,'[2]Transfer History'!D316="GW"&amp;TEAMS!$J$3),"",'[2]Transfer History'!D316)</f>
        <v/>
      </c>
      <c r="E316" t="str">
        <f t="shared" si="16"/>
        <v/>
      </c>
      <c r="F316" t="str">
        <f t="shared" si="17"/>
        <v/>
      </c>
      <c r="G316" t="str">
        <f t="shared" si="18"/>
        <v/>
      </c>
      <c r="H316" t="str">
        <f t="shared" si="19"/>
        <v/>
      </c>
      <c r="J316" s="10" t="str">
        <f>[1]FINAL!B316</f>
        <v>Fabinho</v>
      </c>
      <c r="K316" t="str">
        <f>[1]FINAL!A316</f>
        <v>Fabio Henrique Tavares</v>
      </c>
    </row>
    <row r="317" spans="1:11" x14ac:dyDescent="0.3">
      <c r="A317" t="str">
        <f>IF('[2]Transfer History'!A317=0,"",'[2]Transfer History'!A317)</f>
        <v/>
      </c>
      <c r="B317" t="str">
        <f>IF('[2]Transfer History'!B317=0,"",'[2]Transfer History'!B317)</f>
        <v/>
      </c>
      <c r="C317" t="str">
        <f>IF('[2]Transfer History'!C317=0,"",'[2]Transfer History'!C317)</f>
        <v/>
      </c>
      <c r="D317" t="str">
        <f>IF(OR('[2]Transfer History'!D317=0,'[2]Transfer History'!D317="GW"&amp;TEAMS!$J$3),"",'[2]Transfer History'!D317)</f>
        <v/>
      </c>
      <c r="E317" t="str">
        <f t="shared" si="16"/>
        <v/>
      </c>
      <c r="F317" t="str">
        <f t="shared" si="17"/>
        <v/>
      </c>
      <c r="G317" t="str">
        <f t="shared" si="18"/>
        <v/>
      </c>
      <c r="H317" t="str">
        <f t="shared" si="19"/>
        <v/>
      </c>
      <c r="J317" s="10" t="str">
        <f>[1]FINAL!B317</f>
        <v>Kamara</v>
      </c>
      <c r="K317" t="str">
        <f>[1]FINAL!A317</f>
        <v>Boubacar Kamara</v>
      </c>
    </row>
    <row r="318" spans="1:11" x14ac:dyDescent="0.3">
      <c r="A318" t="str">
        <f>IF('[2]Transfer History'!A318=0,"",'[2]Transfer History'!A318)</f>
        <v/>
      </c>
      <c r="B318" t="str">
        <f>IF('[2]Transfer History'!B318=0,"",'[2]Transfer History'!B318)</f>
        <v/>
      </c>
      <c r="C318" t="str">
        <f>IF('[2]Transfer History'!C318=0,"",'[2]Transfer History'!C318)</f>
        <v/>
      </c>
      <c r="D318" t="str">
        <f>IF(OR('[2]Transfer History'!D318=0,'[2]Transfer History'!D318="GW"&amp;TEAMS!$J$3),"",'[2]Transfer History'!D318)</f>
        <v/>
      </c>
      <c r="E318" t="str">
        <f t="shared" si="16"/>
        <v/>
      </c>
      <c r="F318" t="str">
        <f t="shared" si="17"/>
        <v/>
      </c>
      <c r="G318" t="str">
        <f t="shared" si="18"/>
        <v/>
      </c>
      <c r="H318" t="str">
        <f t="shared" si="19"/>
        <v/>
      </c>
      <c r="J318" s="10" t="str">
        <f>[1]FINAL!B318</f>
        <v>Skipp</v>
      </c>
      <c r="K318" t="str">
        <f>[1]FINAL!A318</f>
        <v>Oliver Skipp</v>
      </c>
    </row>
    <row r="319" spans="1:11" x14ac:dyDescent="0.3">
      <c r="A319" t="str">
        <f>IF('[2]Transfer History'!A319=0,"",'[2]Transfer History'!A319)</f>
        <v/>
      </c>
      <c r="B319" t="str">
        <f>IF('[2]Transfer History'!B319=0,"",'[2]Transfer History'!B319)</f>
        <v/>
      </c>
      <c r="C319" t="str">
        <f>IF('[2]Transfer History'!C319=0,"",'[2]Transfer History'!C319)</f>
        <v/>
      </c>
      <c r="D319" t="str">
        <f>IF(OR('[2]Transfer History'!D319=0,'[2]Transfer History'!D319="GW"&amp;TEAMS!$J$3),"",'[2]Transfer History'!D319)</f>
        <v/>
      </c>
      <c r="E319" t="str">
        <f t="shared" si="16"/>
        <v/>
      </c>
      <c r="F319" t="str">
        <f t="shared" si="17"/>
        <v/>
      </c>
      <c r="G319" t="str">
        <f t="shared" si="18"/>
        <v/>
      </c>
      <c r="H319" t="str">
        <f t="shared" si="19"/>
        <v/>
      </c>
      <c r="J319" s="10" t="str">
        <f>[1]FINAL!B319</f>
        <v>Freuler</v>
      </c>
      <c r="K319" t="str">
        <f>[1]FINAL!A319</f>
        <v>Remo Freuler</v>
      </c>
    </row>
    <row r="320" spans="1:11" x14ac:dyDescent="0.3">
      <c r="A320" t="str">
        <f>IF('[2]Transfer History'!A320=0,"",'[2]Transfer History'!A320)</f>
        <v/>
      </c>
      <c r="B320" t="str">
        <f>IF('[2]Transfer History'!B320=0,"",'[2]Transfer History'!B320)</f>
        <v/>
      </c>
      <c r="C320" t="str">
        <f>IF('[2]Transfer History'!C320=0,"",'[2]Transfer History'!C320)</f>
        <v/>
      </c>
      <c r="D320" t="str">
        <f>IF(OR('[2]Transfer History'!D320=0,'[2]Transfer History'!D320="GW"&amp;TEAMS!$J$3),"",'[2]Transfer History'!D320)</f>
        <v/>
      </c>
      <c r="E320" t="str">
        <f t="shared" si="16"/>
        <v/>
      </c>
      <c r="F320" t="str">
        <f t="shared" si="17"/>
        <v/>
      </c>
      <c r="G320" t="str">
        <f t="shared" si="18"/>
        <v/>
      </c>
      <c r="H320" t="str">
        <f t="shared" si="19"/>
        <v/>
      </c>
      <c r="J320" s="10" t="str">
        <f>[1]FINAL!B320</f>
        <v>Bissouma</v>
      </c>
      <c r="K320" t="str">
        <f>[1]FINAL!A320</f>
        <v>Yves Bissouma</v>
      </c>
    </row>
    <row r="321" spans="1:11" x14ac:dyDescent="0.3">
      <c r="A321" t="str">
        <f>IF('[2]Transfer History'!A321=0,"",'[2]Transfer History'!A321)</f>
        <v/>
      </c>
      <c r="B321" t="str">
        <f>IF('[2]Transfer History'!B321=0,"",'[2]Transfer History'!B321)</f>
        <v/>
      </c>
      <c r="C321" t="str">
        <f>IF('[2]Transfer History'!C321=0,"",'[2]Transfer History'!C321)</f>
        <v/>
      </c>
      <c r="D321" t="str">
        <f>IF(OR('[2]Transfer History'!D321=0,'[2]Transfer History'!D321="GW"&amp;TEAMS!$J$3),"",'[2]Transfer History'!D321)</f>
        <v/>
      </c>
      <c r="E321" t="str">
        <f t="shared" si="16"/>
        <v/>
      </c>
      <c r="F321" t="str">
        <f t="shared" si="17"/>
        <v/>
      </c>
      <c r="G321" t="str">
        <f t="shared" si="18"/>
        <v/>
      </c>
      <c r="H321" t="str">
        <f t="shared" si="19"/>
        <v/>
      </c>
      <c r="J321" s="10" t="str">
        <f>[1]FINAL!B321</f>
        <v>Pearson</v>
      </c>
      <c r="K321" t="str">
        <f>[1]FINAL!A321</f>
        <v>Ben Pearson</v>
      </c>
    </row>
    <row r="322" spans="1:11" x14ac:dyDescent="0.3">
      <c r="A322" t="str">
        <f>IF('[2]Transfer History'!A322=0,"",'[2]Transfer History'!A322)</f>
        <v/>
      </c>
      <c r="B322" t="str">
        <f>IF('[2]Transfer History'!B322=0,"",'[2]Transfer History'!B322)</f>
        <v/>
      </c>
      <c r="C322" t="str">
        <f>IF('[2]Transfer History'!C322=0,"",'[2]Transfer History'!C322)</f>
        <v/>
      </c>
      <c r="D322" t="str">
        <f>IF(OR('[2]Transfer History'!D322=0,'[2]Transfer History'!D322="GW"&amp;TEAMS!$J$3),"",'[2]Transfer History'!D322)</f>
        <v/>
      </c>
      <c r="E322" t="str">
        <f t="shared" si="16"/>
        <v/>
      </c>
      <c r="F322" t="str">
        <f t="shared" si="17"/>
        <v/>
      </c>
      <c r="G322" t="str">
        <f t="shared" si="18"/>
        <v/>
      </c>
      <c r="H322" t="str">
        <f t="shared" si="19"/>
        <v/>
      </c>
      <c r="J322" s="10" t="str">
        <f>[1]FINAL!B322</f>
        <v>Lascelles</v>
      </c>
      <c r="K322" t="str">
        <f>[1]FINAL!A322</f>
        <v>Jamaal Lascelles</v>
      </c>
    </row>
    <row r="323" spans="1:11" x14ac:dyDescent="0.3">
      <c r="A323" t="str">
        <f>IF('[2]Transfer History'!A323=0,"",'[2]Transfer History'!A323)</f>
        <v/>
      </c>
      <c r="B323" t="str">
        <f>IF('[2]Transfer History'!B323=0,"",'[2]Transfer History'!B323)</f>
        <v/>
      </c>
      <c r="C323" t="str">
        <f>IF('[2]Transfer History'!C323=0,"",'[2]Transfer History'!C323)</f>
        <v/>
      </c>
      <c r="D323" t="str">
        <f>IF(OR('[2]Transfer History'!D323=0,'[2]Transfer History'!D323="GW"&amp;TEAMS!$J$3),"",'[2]Transfer History'!D323)</f>
        <v/>
      </c>
      <c r="E323" t="str">
        <f t="shared" ref="E323:E343" si="20">IFERROR(VLOOKUP(C323,$J:$K,MATCH("Player Name",$J$1:$K$1,0),0),"")</f>
        <v/>
      </c>
      <c r="F323" t="str">
        <f t="shared" ref="F323:F343" si="21">D323&amp;E323</f>
        <v/>
      </c>
      <c r="G323" t="str">
        <f t="shared" ref="G323:G343" si="22">IFERROR(VLOOKUP(B323,$J:$K,MATCH("Player Name",$J$1:$K$1,0),0),"")</f>
        <v/>
      </c>
      <c r="H323" t="str">
        <f t="shared" ref="H323:H343" si="23">E323</f>
        <v/>
      </c>
      <c r="J323" s="10" t="str">
        <f>[1]FINAL!B323</f>
        <v>Diogo J.</v>
      </c>
      <c r="K323" t="str">
        <f>[1]FINAL!A323</f>
        <v>Diogo Teixeira da Silva</v>
      </c>
    </row>
    <row r="324" spans="1:11" x14ac:dyDescent="0.3">
      <c r="A324" t="str">
        <f>IF('[2]Transfer History'!A324=0,"",'[2]Transfer History'!A324)</f>
        <v/>
      </c>
      <c r="B324" t="str">
        <f>IF('[2]Transfer History'!B324=0,"",'[2]Transfer History'!B324)</f>
        <v/>
      </c>
      <c r="C324" t="str">
        <f>IF('[2]Transfer History'!C324=0,"",'[2]Transfer History'!C324)</f>
        <v/>
      </c>
      <c r="D324" t="str">
        <f>IF(OR('[2]Transfer History'!D324=0,'[2]Transfer History'!D324="GW"&amp;TEAMS!$J$3),"",'[2]Transfer History'!D324)</f>
        <v/>
      </c>
      <c r="E324" t="str">
        <f t="shared" si="20"/>
        <v/>
      </c>
      <c r="F324" t="str">
        <f t="shared" si="21"/>
        <v/>
      </c>
      <c r="G324" t="str">
        <f t="shared" si="22"/>
        <v/>
      </c>
      <c r="H324" t="str">
        <f t="shared" si="23"/>
        <v/>
      </c>
      <c r="J324" s="10" t="str">
        <f>[1]FINAL!B324</f>
        <v>Alex Moreno</v>
      </c>
      <c r="K324" t="str">
        <f>[1]FINAL!A324</f>
        <v>Alexandre Moreno Lopera</v>
      </c>
    </row>
    <row r="325" spans="1:11" x14ac:dyDescent="0.3">
      <c r="A325" t="str">
        <f>IF('[2]Transfer History'!A325=0,"",'[2]Transfer History'!A325)</f>
        <v/>
      </c>
      <c r="B325" t="str">
        <f>IF('[2]Transfer History'!B325=0,"",'[2]Transfer History'!B325)</f>
        <v/>
      </c>
      <c r="C325" t="str">
        <f>IF('[2]Transfer History'!C325=0,"",'[2]Transfer History'!C325)</f>
        <v/>
      </c>
      <c r="D325" t="str">
        <f>IF(OR('[2]Transfer History'!D325=0,'[2]Transfer History'!D325="GW"&amp;TEAMS!$J$3),"",'[2]Transfer History'!D325)</f>
        <v/>
      </c>
      <c r="E325" t="str">
        <f t="shared" si="20"/>
        <v/>
      </c>
      <c r="F325" t="str">
        <f t="shared" si="21"/>
        <v/>
      </c>
      <c r="G325" t="str">
        <f t="shared" si="22"/>
        <v/>
      </c>
      <c r="H325" t="str">
        <f t="shared" si="23"/>
        <v/>
      </c>
      <c r="J325" s="10" t="str">
        <f>[1]FINAL!B325</f>
        <v>Ederson M.</v>
      </c>
      <c r="K325" t="str">
        <f>[1]FINAL!A325</f>
        <v>Ederson Santana de Moraes</v>
      </c>
    </row>
    <row r="326" spans="1:11" x14ac:dyDescent="0.3">
      <c r="A326" t="str">
        <f>IF('[2]Transfer History'!A326=0,"",'[2]Transfer History'!A326)</f>
        <v/>
      </c>
      <c r="B326" t="str">
        <f>IF('[2]Transfer History'!B326=0,"",'[2]Transfer History'!B326)</f>
        <v/>
      </c>
      <c r="C326" t="str">
        <f>IF('[2]Transfer History'!C326=0,"",'[2]Transfer History'!C326)</f>
        <v/>
      </c>
      <c r="D326" t="str">
        <f>IF(OR('[2]Transfer History'!D326=0,'[2]Transfer History'!D326="GW"&amp;TEAMS!$J$3),"",'[2]Transfer History'!D326)</f>
        <v/>
      </c>
      <c r="E326" t="str">
        <f t="shared" si="20"/>
        <v/>
      </c>
      <c r="F326" t="str">
        <f t="shared" si="21"/>
        <v/>
      </c>
      <c r="G326" t="str">
        <f t="shared" si="22"/>
        <v/>
      </c>
      <c r="H326" t="str">
        <f t="shared" si="23"/>
        <v/>
      </c>
      <c r="J326" s="10" t="str">
        <f>[1]FINAL!B326</f>
        <v>T.Silva</v>
      </c>
      <c r="K326" t="str">
        <f>[1]FINAL!A326</f>
        <v>Thiago Emiliano da Silva</v>
      </c>
    </row>
    <row r="327" spans="1:11" x14ac:dyDescent="0.3">
      <c r="A327" t="str">
        <f>IF('[2]Transfer History'!A327=0,"",'[2]Transfer History'!A327)</f>
        <v/>
      </c>
      <c r="B327" t="str">
        <f>IF('[2]Transfer History'!B327=0,"",'[2]Transfer History'!B327)</f>
        <v/>
      </c>
      <c r="C327" t="str">
        <f>IF('[2]Transfer History'!C327=0,"",'[2]Transfer History'!C327)</f>
        <v/>
      </c>
      <c r="D327" t="str">
        <f>IF(OR('[2]Transfer History'!D327=0,'[2]Transfer History'!D327="GW"&amp;TEAMS!$J$3),"",'[2]Transfer History'!D327)</f>
        <v/>
      </c>
      <c r="E327" t="str">
        <f t="shared" si="20"/>
        <v/>
      </c>
      <c r="F327" t="str">
        <f t="shared" si="21"/>
        <v/>
      </c>
      <c r="G327" t="str">
        <f t="shared" si="22"/>
        <v/>
      </c>
      <c r="H327" t="str">
        <f t="shared" si="23"/>
        <v/>
      </c>
      <c r="J327" s="10" t="str">
        <f>[1]FINAL!B327</f>
        <v>Bruno G.</v>
      </c>
      <c r="K327" t="str">
        <f>[1]FINAL!A327</f>
        <v>Bruno Guimarães Rodriguez Moura</v>
      </c>
    </row>
    <row r="328" spans="1:11" x14ac:dyDescent="0.3">
      <c r="A328" t="str">
        <f>IF('[2]Transfer History'!A328=0,"",'[2]Transfer History'!A328)</f>
        <v/>
      </c>
      <c r="B328" t="str">
        <f>IF('[2]Transfer History'!B328=0,"",'[2]Transfer History'!B328)</f>
        <v/>
      </c>
      <c r="C328" t="str">
        <f>IF('[2]Transfer History'!C328=0,"",'[2]Transfer History'!C328)</f>
        <v/>
      </c>
      <c r="D328" t="str">
        <f>IF(OR('[2]Transfer History'!D328=0,'[2]Transfer History'!D328="GW"&amp;TEAMS!$J$3),"",'[2]Transfer History'!D328)</f>
        <v/>
      </c>
      <c r="E328" t="str">
        <f t="shared" si="20"/>
        <v/>
      </c>
      <c r="F328" t="str">
        <f t="shared" si="21"/>
        <v/>
      </c>
      <c r="G328" t="str">
        <f t="shared" si="22"/>
        <v/>
      </c>
      <c r="H328" t="str">
        <f t="shared" si="23"/>
        <v/>
      </c>
      <c r="J328" s="10" t="str">
        <f>[1]FINAL!B328</f>
        <v>Spence</v>
      </c>
      <c r="K328" t="str">
        <f>[1]FINAL!A328</f>
        <v>Djed Spence</v>
      </c>
    </row>
    <row r="329" spans="1:11" x14ac:dyDescent="0.3">
      <c r="A329" t="str">
        <f>IF('[2]Transfer History'!A329=0,"",'[2]Transfer History'!A329)</f>
        <v/>
      </c>
      <c r="B329" t="str">
        <f>IF('[2]Transfer History'!B329=0,"",'[2]Transfer History'!B329)</f>
        <v/>
      </c>
      <c r="C329" t="str">
        <f>IF('[2]Transfer History'!C329=0,"",'[2]Transfer History'!C329)</f>
        <v/>
      </c>
      <c r="D329" t="str">
        <f>IF(OR('[2]Transfer History'!D329=0,'[2]Transfer History'!D329="GW"&amp;TEAMS!$J$3),"",'[2]Transfer History'!D329)</f>
        <v/>
      </c>
      <c r="E329" t="str">
        <f t="shared" si="20"/>
        <v/>
      </c>
      <c r="F329" t="str">
        <f t="shared" si="21"/>
        <v/>
      </c>
      <c r="G329" t="str">
        <f t="shared" si="22"/>
        <v/>
      </c>
      <c r="H329" t="str">
        <f t="shared" si="23"/>
        <v/>
      </c>
      <c r="J329" s="10" t="str">
        <f>[1]FINAL!B329</f>
        <v>Nelson</v>
      </c>
      <c r="K329" t="str">
        <f>[1]FINAL!A329</f>
        <v>Reiss Nelson</v>
      </c>
    </row>
    <row r="330" spans="1:11" x14ac:dyDescent="0.3">
      <c r="A330" t="str">
        <f>IF('[2]Transfer History'!A330=0,"",'[2]Transfer History'!A330)</f>
        <v/>
      </c>
      <c r="B330" t="str">
        <f>IF('[2]Transfer History'!B330=0,"",'[2]Transfer History'!B330)</f>
        <v/>
      </c>
      <c r="C330" t="str">
        <f>IF('[2]Transfer History'!C330=0,"",'[2]Transfer History'!C330)</f>
        <v/>
      </c>
      <c r="D330" t="str">
        <f>IF(OR('[2]Transfer History'!D330=0,'[2]Transfer History'!D330="GW"&amp;TEAMS!$J$3),"",'[2]Transfer History'!D330)</f>
        <v/>
      </c>
      <c r="E330" t="str">
        <f t="shared" si="20"/>
        <v/>
      </c>
      <c r="F330" t="str">
        <f t="shared" si="21"/>
        <v/>
      </c>
      <c r="G330" t="str">
        <f t="shared" si="22"/>
        <v/>
      </c>
      <c r="H330" t="str">
        <f t="shared" si="23"/>
        <v/>
      </c>
      <c r="J330" s="10" t="str">
        <f>[1]FINAL!B330</f>
        <v>Smith Rowe</v>
      </c>
      <c r="K330" t="str">
        <f>[1]FINAL!A330</f>
        <v>Emile Smith Rowe</v>
      </c>
    </row>
    <row r="331" spans="1:11" x14ac:dyDescent="0.3">
      <c r="A331" t="str">
        <f>IF('[2]Transfer History'!A331=0,"",'[2]Transfer History'!A331)</f>
        <v/>
      </c>
      <c r="B331" t="str">
        <f>IF('[2]Transfer History'!B331=0,"",'[2]Transfer History'!B331)</f>
        <v/>
      </c>
      <c r="C331" t="str">
        <f>IF('[2]Transfer History'!C331=0,"",'[2]Transfer History'!C331)</f>
        <v/>
      </c>
      <c r="D331" t="str">
        <f>IF(OR('[2]Transfer History'!D331=0,'[2]Transfer History'!D331="GW"&amp;TEAMS!$J$3),"",'[2]Transfer History'!D331)</f>
        <v/>
      </c>
      <c r="E331" t="str">
        <f t="shared" si="20"/>
        <v/>
      </c>
      <c r="F331" t="str">
        <f t="shared" si="21"/>
        <v/>
      </c>
      <c r="G331" t="str">
        <f t="shared" si="22"/>
        <v/>
      </c>
      <c r="H331" t="str">
        <f t="shared" si="23"/>
        <v/>
      </c>
      <c r="J331" s="10" t="str">
        <f>[1]FINAL!B331</f>
        <v>Maupay</v>
      </c>
      <c r="K331" t="str">
        <f>[1]FINAL!A331</f>
        <v>Neal Maupay</v>
      </c>
    </row>
    <row r="332" spans="1:11" x14ac:dyDescent="0.3">
      <c r="A332" t="str">
        <f>IF('[2]Transfer History'!A332=0,"",'[2]Transfer History'!A332)</f>
        <v/>
      </c>
      <c r="B332" t="str">
        <f>IF('[2]Transfer History'!B332=0,"",'[2]Transfer History'!B332)</f>
        <v/>
      </c>
      <c r="C332" t="str">
        <f>IF('[2]Transfer History'!C332=0,"",'[2]Transfer History'!C332)</f>
        <v/>
      </c>
      <c r="D332" t="str">
        <f>IF(OR('[2]Transfer History'!D332=0,'[2]Transfer History'!D332="GW"&amp;TEAMS!$J$3),"",'[2]Transfer History'!D332)</f>
        <v/>
      </c>
      <c r="E332" t="str">
        <f t="shared" si="20"/>
        <v/>
      </c>
      <c r="F332" t="str">
        <f t="shared" si="21"/>
        <v/>
      </c>
      <c r="G332" t="str">
        <f t="shared" si="22"/>
        <v/>
      </c>
      <c r="H332" t="str">
        <f t="shared" si="23"/>
        <v/>
      </c>
      <c r="J332" s="10" t="str">
        <f>[1]FINAL!B332</f>
        <v>Siriki</v>
      </c>
      <c r="K332" t="str">
        <f>[1]FINAL!A332</f>
        <v>Siriki Dembélé</v>
      </c>
    </row>
    <row r="333" spans="1:11" x14ac:dyDescent="0.3">
      <c r="A333" t="str">
        <f>IF('[2]Transfer History'!A333=0,"",'[2]Transfer History'!A333)</f>
        <v/>
      </c>
      <c r="B333" t="str">
        <f>IF('[2]Transfer History'!B333=0,"",'[2]Transfer History'!B333)</f>
        <v/>
      </c>
      <c r="C333" t="str">
        <f>IF('[2]Transfer History'!C333=0,"",'[2]Transfer History'!C333)</f>
        <v/>
      </c>
      <c r="D333" t="str">
        <f>IF(OR('[2]Transfer History'!D333=0,'[2]Transfer History'!D333="GW"&amp;TEAMS!$J$3),"",'[2]Transfer History'!D333)</f>
        <v/>
      </c>
      <c r="E333" t="str">
        <f t="shared" si="20"/>
        <v/>
      </c>
      <c r="F333" t="str">
        <f t="shared" si="21"/>
        <v/>
      </c>
      <c r="G333" t="str">
        <f t="shared" si="22"/>
        <v/>
      </c>
      <c r="H333" t="str">
        <f t="shared" si="23"/>
        <v/>
      </c>
      <c r="J333" s="10" t="str">
        <f>[1]FINAL!B333</f>
        <v>Ritchie</v>
      </c>
      <c r="K333" t="str">
        <f>[1]FINAL!A333</f>
        <v>Matt Ritchie</v>
      </c>
    </row>
    <row r="334" spans="1:11" x14ac:dyDescent="0.3">
      <c r="A334" t="str">
        <f>IF('[2]Transfer History'!A334=0,"",'[2]Transfer History'!A334)</f>
        <v/>
      </c>
      <c r="B334" t="str">
        <f>IF('[2]Transfer History'!B334=0,"",'[2]Transfer History'!B334)</f>
        <v/>
      </c>
      <c r="C334" t="str">
        <f>IF('[2]Transfer History'!C334=0,"",'[2]Transfer History'!C334)</f>
        <v/>
      </c>
      <c r="D334" t="str">
        <f>IF(OR('[2]Transfer History'!D334=0,'[2]Transfer History'!D334="GW"&amp;TEAMS!$J$3),"",'[2]Transfer History'!D334)</f>
        <v/>
      </c>
      <c r="E334" t="str">
        <f t="shared" si="20"/>
        <v/>
      </c>
      <c r="F334" t="str">
        <f t="shared" si="21"/>
        <v/>
      </c>
      <c r="G334" t="str">
        <f t="shared" si="22"/>
        <v/>
      </c>
      <c r="H334" t="str">
        <f t="shared" si="23"/>
        <v/>
      </c>
      <c r="J334" s="10" t="str">
        <f>[1]FINAL!B334</f>
        <v>Garner</v>
      </c>
      <c r="K334" t="str">
        <f>[1]FINAL!A334</f>
        <v>James Garner</v>
      </c>
    </row>
    <row r="335" spans="1:11" x14ac:dyDescent="0.3">
      <c r="A335" t="str">
        <f>IF('[2]Transfer History'!A335=0,"",'[2]Transfer History'!A335)</f>
        <v/>
      </c>
      <c r="B335" t="str">
        <f>IF('[2]Transfer History'!B335=0,"",'[2]Transfer History'!B335)</f>
        <v/>
      </c>
      <c r="C335" t="str">
        <f>IF('[2]Transfer History'!C335=0,"",'[2]Transfer History'!C335)</f>
        <v/>
      </c>
      <c r="D335" t="str">
        <f>IF(OR('[2]Transfer History'!D335=0,'[2]Transfer History'!D335="GW"&amp;TEAMS!$J$3),"",'[2]Transfer History'!D335)</f>
        <v/>
      </c>
      <c r="E335" t="str">
        <f t="shared" si="20"/>
        <v/>
      </c>
      <c r="F335" t="str">
        <f t="shared" si="21"/>
        <v/>
      </c>
      <c r="G335" t="str">
        <f t="shared" si="22"/>
        <v/>
      </c>
      <c r="H335" t="str">
        <f t="shared" si="23"/>
        <v/>
      </c>
      <c r="J335" s="10" t="str">
        <f>[1]FINAL!B335</f>
        <v>Gilmour</v>
      </c>
      <c r="K335" t="str">
        <f>[1]FINAL!A335</f>
        <v>Billy Gilmour</v>
      </c>
    </row>
    <row r="336" spans="1:11" x14ac:dyDescent="0.3">
      <c r="A336" t="str">
        <f>IF('[2]Transfer History'!A336=0,"",'[2]Transfer History'!A336)</f>
        <v/>
      </c>
      <c r="B336" t="str">
        <f>IF('[2]Transfer History'!B336=0,"",'[2]Transfer History'!B336)</f>
        <v/>
      </c>
      <c r="C336" t="str">
        <f>IF('[2]Transfer History'!C336=0,"",'[2]Transfer History'!C336)</f>
        <v/>
      </c>
      <c r="D336" t="str">
        <f>IF(OR('[2]Transfer History'!D336=0,'[2]Transfer History'!D336="GW"&amp;TEAMS!$J$3),"",'[2]Transfer History'!D336)</f>
        <v/>
      </c>
      <c r="E336" t="str">
        <f t="shared" si="20"/>
        <v/>
      </c>
      <c r="F336" t="str">
        <f t="shared" si="21"/>
        <v/>
      </c>
      <c r="G336" t="str">
        <f t="shared" si="22"/>
        <v/>
      </c>
      <c r="H336" t="str">
        <f t="shared" si="23"/>
        <v/>
      </c>
      <c r="J336" s="10" t="str">
        <f>[1]FINAL!B336</f>
        <v>Boly</v>
      </c>
      <c r="K336" t="str">
        <f>[1]FINAL!A336</f>
        <v>Willy Boly</v>
      </c>
    </row>
    <row r="337" spans="1:11" x14ac:dyDescent="0.3">
      <c r="A337" t="str">
        <f>IF('[2]Transfer History'!A337=0,"",'[2]Transfer History'!A337)</f>
        <v/>
      </c>
      <c r="B337" t="str">
        <f>IF('[2]Transfer History'!B337=0,"",'[2]Transfer History'!B337)</f>
        <v/>
      </c>
      <c r="C337" t="str">
        <f>IF('[2]Transfer History'!C337=0,"",'[2]Transfer History'!C337)</f>
        <v/>
      </c>
      <c r="D337" t="str">
        <f>IF(OR('[2]Transfer History'!D337=0,'[2]Transfer History'!D337="GW"&amp;TEAMS!$J$3),"",'[2]Transfer History'!D337)</f>
        <v/>
      </c>
      <c r="E337" t="str">
        <f t="shared" si="20"/>
        <v/>
      </c>
      <c r="F337" t="str">
        <f t="shared" si="21"/>
        <v/>
      </c>
      <c r="G337" t="str">
        <f t="shared" si="22"/>
        <v/>
      </c>
      <c r="H337" t="str">
        <f t="shared" si="23"/>
        <v/>
      </c>
      <c r="J337" s="10" t="str">
        <f>[1]FINAL!B337</f>
        <v>Phillips</v>
      </c>
      <c r="K337" t="str">
        <f>[1]FINAL!A337</f>
        <v>Nathaniel Phillips</v>
      </c>
    </row>
    <row r="338" spans="1:11" x14ac:dyDescent="0.3">
      <c r="A338" t="str">
        <f>IF('[2]Transfer History'!A338=0,"",'[2]Transfer History'!A338)</f>
        <v/>
      </c>
      <c r="B338" t="str">
        <f>IF('[2]Transfer History'!B338=0,"",'[2]Transfer History'!B338)</f>
        <v/>
      </c>
      <c r="C338" t="str">
        <f>IF('[2]Transfer History'!C338=0,"",'[2]Transfer History'!C338)</f>
        <v/>
      </c>
      <c r="D338" t="str">
        <f>IF(OR('[2]Transfer History'!D338=0,'[2]Transfer History'!D338="GW"&amp;TEAMS!$J$3),"",'[2]Transfer History'!D338)</f>
        <v/>
      </c>
      <c r="E338" t="str">
        <f t="shared" si="20"/>
        <v/>
      </c>
      <c r="F338" t="str">
        <f t="shared" si="21"/>
        <v/>
      </c>
      <c r="G338" t="str">
        <f t="shared" si="22"/>
        <v/>
      </c>
      <c r="H338" t="str">
        <f t="shared" si="23"/>
        <v/>
      </c>
      <c r="J338" s="10" t="str">
        <f>[1]FINAL!B338</f>
        <v>Enciso</v>
      </c>
      <c r="K338" t="str">
        <f>[1]FINAL!A338</f>
        <v>Julio Enciso</v>
      </c>
    </row>
    <row r="339" spans="1:11" x14ac:dyDescent="0.3">
      <c r="A339" t="str">
        <f>IF('[2]Transfer History'!A339=0,"",'[2]Transfer History'!A339)</f>
        <v/>
      </c>
      <c r="B339" t="str">
        <f>IF('[2]Transfer History'!B339=0,"",'[2]Transfer History'!B339)</f>
        <v/>
      </c>
      <c r="C339" t="str">
        <f>IF('[2]Transfer History'!C339=0,"",'[2]Transfer History'!C339)</f>
        <v/>
      </c>
      <c r="D339" t="str">
        <f>IF(OR('[2]Transfer History'!D339=0,'[2]Transfer History'!D339="GW"&amp;TEAMS!$J$3),"",'[2]Transfer History'!D339)</f>
        <v/>
      </c>
      <c r="E339" t="str">
        <f t="shared" si="20"/>
        <v/>
      </c>
      <c r="F339" t="str">
        <f t="shared" si="21"/>
        <v/>
      </c>
      <c r="G339" t="str">
        <f t="shared" si="22"/>
        <v/>
      </c>
      <c r="H339" t="str">
        <f t="shared" si="23"/>
        <v/>
      </c>
      <c r="J339" s="10" t="str">
        <f>[1]FINAL!B339</f>
        <v>Zanka</v>
      </c>
      <c r="K339" t="str">
        <f>[1]FINAL!A339</f>
        <v>Mathias Jorgensen</v>
      </c>
    </row>
    <row r="340" spans="1:11" x14ac:dyDescent="0.3">
      <c r="A340" t="str">
        <f>IF('[2]Transfer History'!A340=0,"",'[2]Transfer History'!A340)</f>
        <v/>
      </c>
      <c r="B340" t="str">
        <f>IF('[2]Transfer History'!B340=0,"",'[2]Transfer History'!B340)</f>
        <v/>
      </c>
      <c r="C340" t="str">
        <f>IF('[2]Transfer History'!C340=0,"",'[2]Transfer History'!C340)</f>
        <v/>
      </c>
      <c r="D340" t="str">
        <f>IF(OR('[2]Transfer History'!D340=0,'[2]Transfer History'!D340="GW"&amp;TEAMS!$J$3),"",'[2]Transfer History'!D340)</f>
        <v/>
      </c>
      <c r="E340" t="str">
        <f t="shared" si="20"/>
        <v/>
      </c>
      <c r="F340" t="str">
        <f t="shared" si="21"/>
        <v/>
      </c>
      <c r="G340" t="str">
        <f t="shared" si="22"/>
        <v/>
      </c>
      <c r="H340" t="str">
        <f t="shared" si="23"/>
        <v/>
      </c>
      <c r="J340" s="10" t="str">
        <f>[1]FINAL!B340</f>
        <v>Toti</v>
      </c>
      <c r="K340" t="str">
        <f>[1]FINAL!A340</f>
        <v>Toti António Gomes</v>
      </c>
    </row>
    <row r="341" spans="1:11" x14ac:dyDescent="0.3">
      <c r="A341" t="str">
        <f>IF('[2]Transfer History'!A341=0,"",'[2]Transfer History'!A341)</f>
        <v/>
      </c>
      <c r="B341" t="str">
        <f>IF('[2]Transfer History'!B341=0,"",'[2]Transfer History'!B341)</f>
        <v/>
      </c>
      <c r="C341" t="str">
        <f>IF('[2]Transfer History'!C341=0,"",'[2]Transfer History'!C341)</f>
        <v/>
      </c>
      <c r="D341" t="str">
        <f>IF(OR('[2]Transfer History'!D341=0,'[2]Transfer History'!D341="GW"&amp;TEAMS!$J$3),"",'[2]Transfer History'!D341)</f>
        <v/>
      </c>
      <c r="E341" t="str">
        <f t="shared" si="20"/>
        <v/>
      </c>
      <c r="F341" t="str">
        <f t="shared" si="21"/>
        <v/>
      </c>
      <c r="G341" t="str">
        <f t="shared" si="22"/>
        <v/>
      </c>
      <c r="H341" t="str">
        <f t="shared" si="23"/>
        <v/>
      </c>
      <c r="J341" s="10" t="str">
        <f>[1]FINAL!B341</f>
        <v>Fábio Vieira</v>
      </c>
      <c r="K341" t="str">
        <f>[1]FINAL!A341</f>
        <v>Fábio Ferreira Vieira</v>
      </c>
    </row>
    <row r="342" spans="1:11" x14ac:dyDescent="0.3">
      <c r="A342" t="str">
        <f>IF('[2]Transfer History'!A342=0,"",'[2]Transfer History'!A342)</f>
        <v/>
      </c>
      <c r="B342" t="str">
        <f>IF('[2]Transfer History'!B342=0,"",'[2]Transfer History'!B342)</f>
        <v/>
      </c>
      <c r="C342" t="str">
        <f>IF('[2]Transfer History'!C342=0,"",'[2]Transfer History'!C342)</f>
        <v/>
      </c>
      <c r="D342" t="str">
        <f>IF(OR('[2]Transfer History'!D342=0,'[2]Transfer History'!D342="GW"&amp;TEAMS!$J$3),"",'[2]Transfer History'!D342)</f>
        <v/>
      </c>
      <c r="E342" t="str">
        <f t="shared" si="20"/>
        <v/>
      </c>
      <c r="F342" t="str">
        <f t="shared" si="21"/>
        <v/>
      </c>
      <c r="G342" t="str">
        <f t="shared" si="22"/>
        <v/>
      </c>
      <c r="H342" t="str">
        <f t="shared" si="23"/>
        <v/>
      </c>
      <c r="J342" s="10" t="str">
        <f>[1]FINAL!B342</f>
        <v>Niakhaté</v>
      </c>
      <c r="K342" t="str">
        <f>[1]FINAL!A342</f>
        <v>Moussa Niakhaté</v>
      </c>
    </row>
    <row r="343" spans="1:11" x14ac:dyDescent="0.3">
      <c r="A343" t="str">
        <f>IF('[2]Transfer History'!A343=0,"",'[2]Transfer History'!A343)</f>
        <v/>
      </c>
      <c r="B343" t="str">
        <f>IF('[2]Transfer History'!B343=0,"",'[2]Transfer History'!B343)</f>
        <v/>
      </c>
      <c r="C343" t="str">
        <f>IF('[2]Transfer History'!C343=0,"",'[2]Transfer History'!C343)</f>
        <v/>
      </c>
      <c r="D343" t="str">
        <f>IF(OR('[2]Transfer History'!D343=0,'[2]Transfer History'!D343="GW"&amp;TEAMS!$J$3),"",'[2]Transfer History'!D343)</f>
        <v/>
      </c>
      <c r="E343" t="str">
        <f t="shared" si="20"/>
        <v/>
      </c>
      <c r="F343" t="str">
        <f t="shared" si="21"/>
        <v/>
      </c>
      <c r="G343" t="str">
        <f t="shared" si="22"/>
        <v/>
      </c>
      <c r="H343" t="str">
        <f t="shared" si="23"/>
        <v/>
      </c>
      <c r="J343" s="10" t="str">
        <f>[1]FINAL!B343</f>
        <v>Ortega Moreno</v>
      </c>
      <c r="K343" t="str">
        <f>[1]FINAL!A343</f>
        <v>Stefan Ortega Moreno</v>
      </c>
    </row>
    <row r="344" spans="1:11" x14ac:dyDescent="0.3">
      <c r="J344" s="10" t="str">
        <f>[1]FINAL!B344</f>
        <v>Sarmiento</v>
      </c>
      <c r="K344" t="str">
        <f>[1]FINAL!A344</f>
        <v>Jeremy Sarmiento Morante</v>
      </c>
    </row>
    <row r="345" spans="1:11" x14ac:dyDescent="0.3">
      <c r="J345" s="10" t="str">
        <f>[1]FINAL!B345</f>
        <v>Shelvey</v>
      </c>
      <c r="K345" t="str">
        <f>[1]FINAL!A345</f>
        <v>Jonjo Shelvey</v>
      </c>
    </row>
    <row r="346" spans="1:11" x14ac:dyDescent="0.3">
      <c r="J346" s="10" t="str">
        <f>[1]FINAL!B346</f>
        <v>Dubravka</v>
      </c>
      <c r="K346" t="str">
        <f>[1]FINAL!A346</f>
        <v>Martin Dubravka</v>
      </c>
    </row>
    <row r="347" spans="1:11" x14ac:dyDescent="0.3">
      <c r="J347" s="10" t="str">
        <f>[1]FINAL!B347</f>
        <v>Cédric</v>
      </c>
      <c r="K347" t="str">
        <f>[1]FINAL!A347</f>
        <v>Cédric Alves Soares</v>
      </c>
    </row>
    <row r="348" spans="1:11" x14ac:dyDescent="0.3">
      <c r="J348" s="10" t="str">
        <f>[1]FINAL!B348</f>
        <v>Archer</v>
      </c>
      <c r="K348" t="str">
        <f>[1]FINAL!A348</f>
        <v>Cameron Archer</v>
      </c>
    </row>
    <row r="349" spans="1:11" x14ac:dyDescent="0.3">
      <c r="J349" s="10" t="str">
        <f>[1]FINAL!B349</f>
        <v>Riedewald</v>
      </c>
      <c r="K349" t="str">
        <f>[1]FINAL!A349</f>
        <v>Jairo Riedewald</v>
      </c>
    </row>
    <row r="350" spans="1:11" x14ac:dyDescent="0.3">
      <c r="J350" s="10" t="str">
        <f>[1]FINAL!B350</f>
        <v>Canós</v>
      </c>
      <c r="K350" t="str">
        <f>[1]FINAL!A350</f>
        <v>Sergi Canós Tenés</v>
      </c>
    </row>
    <row r="351" spans="1:11" x14ac:dyDescent="0.3">
      <c r="J351" s="10" t="str">
        <f>[1]FINAL!B351</f>
        <v>Dervişoğlu</v>
      </c>
      <c r="K351" t="str">
        <f>[1]FINAL!A351</f>
        <v>Halil Dervişoğlu</v>
      </c>
    </row>
    <row r="352" spans="1:11" x14ac:dyDescent="0.3">
      <c r="J352" s="10" t="str">
        <f>[1]FINAL!B352</f>
        <v>Bech</v>
      </c>
      <c r="K352" t="str">
        <f>[1]FINAL!A352</f>
        <v>Mads Bech Sørensen</v>
      </c>
    </row>
    <row r="353" spans="10:11" x14ac:dyDescent="0.3">
      <c r="J353" s="10" t="str">
        <f>[1]FINAL!B353</f>
        <v>Pellistri</v>
      </c>
      <c r="K353" t="str">
        <f>[1]FINAL!A353</f>
        <v>Facundo Pellistri Rebollo</v>
      </c>
    </row>
    <row r="354" spans="10:11" x14ac:dyDescent="0.3">
      <c r="J354" s="10" t="str">
        <f>[1]FINAL!B354</f>
        <v>Manquillo</v>
      </c>
      <c r="K354" t="str">
        <f>[1]FINAL!A354</f>
        <v>Javier Manquillo Gaitán</v>
      </c>
    </row>
    <row r="355" spans="10:11" x14ac:dyDescent="0.3">
      <c r="J355" s="10" t="str">
        <f>[1]FINAL!B355</f>
        <v>Ebiowei</v>
      </c>
      <c r="K355" t="str">
        <f>[1]FINAL!A355</f>
        <v>Malcolm Ebiowei</v>
      </c>
    </row>
    <row r="356" spans="10:11" x14ac:dyDescent="0.3">
      <c r="J356" s="10" t="str">
        <f>[1]FINAL!B356</f>
        <v>Sanson</v>
      </c>
      <c r="K356" t="str">
        <f>[1]FINAL!A356</f>
        <v>Morgan Sanson</v>
      </c>
    </row>
    <row r="357" spans="10:11" x14ac:dyDescent="0.3">
      <c r="J357" s="10" t="str">
        <f>[1]FINAL!B357</f>
        <v>Lowe</v>
      </c>
      <c r="K357" t="str">
        <f>[1]FINAL!A357</f>
        <v>Jamal Lowe</v>
      </c>
    </row>
    <row r="358" spans="10:11" x14ac:dyDescent="0.3">
      <c r="J358" s="10" t="str">
        <f>[1]FINAL!B358</f>
        <v>Dele</v>
      </c>
      <c r="K358" t="str">
        <f>[1]FINAL!A358</f>
        <v>Dele Alli</v>
      </c>
    </row>
    <row r="359" spans="10:11" x14ac:dyDescent="0.3">
      <c r="J359" s="10" t="str">
        <f>[1]FINAL!B359</f>
        <v>Kelleher</v>
      </c>
      <c r="K359" t="str">
        <f>[1]FINAL!A359</f>
        <v>Caoimhin Kelleher</v>
      </c>
    </row>
    <row r="360" spans="10:11" x14ac:dyDescent="0.3">
      <c r="J360" s="10" t="str">
        <f>[1]FINAL!B360</f>
        <v>J.Lewis</v>
      </c>
      <c r="K360" t="str">
        <f>[1]FINAL!A360</f>
        <v>Jamal Lewis</v>
      </c>
    </row>
    <row r="361" spans="10:11" x14ac:dyDescent="0.3">
      <c r="J361" s="10" t="str">
        <f>[1]FINAL!B361</f>
        <v>Biancone</v>
      </c>
      <c r="K361" t="str">
        <f>[1]FINAL!A361</f>
        <v>Giulian Biancone</v>
      </c>
    </row>
    <row r="362" spans="10:11" x14ac:dyDescent="0.3">
      <c r="J362" s="10">
        <f>[1]FINAL!B362</f>
        <v>0</v>
      </c>
      <c r="K362" t="str">
        <f>[1]FINAL!A362</f>
        <v>Nathan Redmond</v>
      </c>
    </row>
    <row r="363" spans="10:11" x14ac:dyDescent="0.3">
      <c r="J363" s="10" t="str">
        <f>[1]FINAL!B363</f>
        <v>Marquinhos</v>
      </c>
      <c r="K363" t="str">
        <f>[1]FINAL!A363</f>
        <v>Marcus Oliveira Alencar</v>
      </c>
    </row>
    <row r="364" spans="10:11" x14ac:dyDescent="0.3">
      <c r="J364" s="10" t="str">
        <f>[1]FINAL!B364</f>
        <v>Marcondes</v>
      </c>
      <c r="K364" t="str">
        <f>[1]FINAL!A364</f>
        <v>Emiliano Marcondes</v>
      </c>
    </row>
    <row r="365" spans="10:11" x14ac:dyDescent="0.3">
      <c r="J365" s="10" t="str">
        <f>[1]FINAL!B365</f>
        <v>Redmond</v>
      </c>
      <c r="K365" t="str">
        <f>[1]FINAL!A365</f>
        <v>Nathan Redmond</v>
      </c>
    </row>
    <row r="366" spans="10:11" x14ac:dyDescent="0.3">
      <c r="J366" s="10" t="str">
        <f>[1]FINAL!B366</f>
        <v>Francois</v>
      </c>
      <c r="K366" t="str">
        <f>[1]FINAL!A366</f>
        <v>Tyrese Francois</v>
      </c>
    </row>
    <row r="367" spans="10:11" x14ac:dyDescent="0.3">
      <c r="J367" s="10" t="str">
        <f>[1]FINAL!B367</f>
        <v>Krafth</v>
      </c>
      <c r="K367" t="str">
        <f>[1]FINAL!A367</f>
        <v>Emil Krafth</v>
      </c>
    </row>
    <row r="368" spans="10:11" x14ac:dyDescent="0.3">
      <c r="J368" s="10" t="str">
        <f>[1]FINAL!B368</f>
        <v>Mighten</v>
      </c>
      <c r="K368" t="str">
        <f>[1]FINAL!A368</f>
        <v>Alex Mighten</v>
      </c>
    </row>
    <row r="369" spans="10:11" x14ac:dyDescent="0.3">
      <c r="J369" s="10" t="str">
        <f>[1]FINAL!B369</f>
        <v>Coventry</v>
      </c>
      <c r="K369" t="str">
        <f>[1]FINAL!A369</f>
        <v>Conor Coventry</v>
      </c>
    </row>
    <row r="370" spans="10:11" x14ac:dyDescent="0.3">
      <c r="J370" s="10">
        <f>[1]FINAL!B370</f>
        <v>0</v>
      </c>
      <c r="K370" t="str">
        <f>[1]FINAL!A370</f>
        <v>Enock Agyei</v>
      </c>
    </row>
    <row r="371" spans="10:11" x14ac:dyDescent="0.3">
      <c r="J371" s="10">
        <f>[1]FINAL!B371</f>
        <v>0</v>
      </c>
      <c r="K371" t="str">
        <f>[1]FINAL!A371</f>
        <v>Ameen Al-Dakhil</v>
      </c>
    </row>
    <row r="372" spans="10:11" x14ac:dyDescent="0.3">
      <c r="J372" s="10">
        <f>[1]FINAL!B372</f>
        <v>0</v>
      </c>
      <c r="K372" t="str">
        <f>[1]FINAL!A372</f>
        <v>Samuel Bastien</v>
      </c>
    </row>
    <row r="373" spans="10:11" x14ac:dyDescent="0.3">
      <c r="J373" s="10">
        <f>[1]FINAL!B373</f>
        <v>0</v>
      </c>
      <c r="K373" t="str">
        <f>[1]FINAL!A373</f>
        <v>Manuel Benson Hedilazio</v>
      </c>
    </row>
    <row r="374" spans="10:11" x14ac:dyDescent="0.3">
      <c r="J374" s="10">
        <f>[1]FINAL!B374</f>
        <v>0</v>
      </c>
      <c r="K374" t="str">
        <f>[1]FINAL!A374</f>
        <v>Jordan Beyer</v>
      </c>
    </row>
    <row r="375" spans="10:11" x14ac:dyDescent="0.3">
      <c r="J375" s="10">
        <f>[1]FINAL!B375</f>
        <v>0</v>
      </c>
      <c r="K375" t="str">
        <f>[1]FINAL!A375</f>
        <v>Josh Brownhill</v>
      </c>
    </row>
    <row r="376" spans="10:11" x14ac:dyDescent="0.3">
      <c r="J376" s="10">
        <f>[1]FINAL!B376</f>
        <v>0</v>
      </c>
      <c r="K376" t="str">
        <f>[1]FINAL!A376</f>
        <v>Darko Churlinov</v>
      </c>
    </row>
    <row r="377" spans="10:11" x14ac:dyDescent="0.3">
      <c r="J377" s="10">
        <f>[1]FINAL!B377</f>
        <v>0</v>
      </c>
      <c r="K377" t="str">
        <f>[1]FINAL!A377</f>
        <v>Jack Cork</v>
      </c>
    </row>
    <row r="378" spans="10:11" x14ac:dyDescent="0.3">
      <c r="J378" s="10">
        <f>[1]FINAL!B378</f>
        <v>0</v>
      </c>
      <c r="K378" t="str">
        <f>[1]FINAL!A378</f>
        <v>Dara Costelloe</v>
      </c>
    </row>
    <row r="379" spans="10:11" x14ac:dyDescent="0.3">
      <c r="J379" s="10">
        <f>[1]FINAL!B379</f>
        <v>0</v>
      </c>
      <c r="K379" t="str">
        <f>[1]FINAL!A379</f>
        <v>Josh Cullen</v>
      </c>
    </row>
    <row r="380" spans="10:11" x14ac:dyDescent="0.3">
      <c r="J380" s="10">
        <f>[1]FINAL!B380</f>
        <v>0</v>
      </c>
      <c r="K380" t="str">
        <f>[1]FINAL!A380</f>
        <v>CJ Egan-Riley</v>
      </c>
    </row>
    <row r="381" spans="10:11" x14ac:dyDescent="0.3">
      <c r="J381" s="10">
        <f>[1]FINAL!B381</f>
        <v>0</v>
      </c>
      <c r="K381" t="str">
        <f>[1]FINAL!A381</f>
        <v>Hjalmar Ekdal</v>
      </c>
    </row>
    <row r="382" spans="10:11" x14ac:dyDescent="0.3">
      <c r="J382" s="10">
        <f>[1]FINAL!B382</f>
        <v>0</v>
      </c>
      <c r="K382" t="str">
        <f>[1]FINAL!A382</f>
        <v>Lyle Foster</v>
      </c>
    </row>
    <row r="383" spans="10:11" x14ac:dyDescent="0.3">
      <c r="J383" s="10">
        <f>[1]FINAL!B383</f>
        <v>0</v>
      </c>
      <c r="K383" t="str">
        <f>[1]FINAL!A383</f>
        <v>Denis Franchi</v>
      </c>
    </row>
    <row r="384" spans="10:11" x14ac:dyDescent="0.3">
      <c r="J384" s="10">
        <f>[1]FINAL!B384</f>
        <v>0</v>
      </c>
      <c r="K384" t="str">
        <f>[1]FINAL!A384</f>
        <v>Jóhann Berg Gudmundsson</v>
      </c>
    </row>
    <row r="385" spans="10:11" x14ac:dyDescent="0.3">
      <c r="J385" s="10">
        <f>[1]FINAL!B385</f>
        <v>0</v>
      </c>
      <c r="K385" t="str">
        <f>[1]FINAL!A385</f>
        <v>Luke McNally</v>
      </c>
    </row>
    <row r="386" spans="10:11" x14ac:dyDescent="0.3">
      <c r="J386" s="10">
        <f>[1]FINAL!B386</f>
        <v>0</v>
      </c>
      <c r="K386" t="str">
        <f>[1]FINAL!A386</f>
        <v>Arijanet Muric</v>
      </c>
    </row>
    <row r="387" spans="10:11" x14ac:dyDescent="0.3">
      <c r="J387" s="10">
        <f>[1]FINAL!B387</f>
        <v>0</v>
      </c>
      <c r="K387" t="str">
        <f>[1]FINAL!A387</f>
        <v>Dara O'Shea</v>
      </c>
    </row>
    <row r="388" spans="10:11" x14ac:dyDescent="0.3">
      <c r="J388" s="10">
        <f>[1]FINAL!B388</f>
        <v>0</v>
      </c>
      <c r="K388" t="str">
        <f>[1]FINAL!A388</f>
        <v>Michael Obafemi</v>
      </c>
    </row>
    <row r="389" spans="10:11" x14ac:dyDescent="0.3">
      <c r="J389" s="10">
        <f>[1]FINAL!B389</f>
        <v>0</v>
      </c>
      <c r="K389" t="str">
        <f>[1]FINAL!A389</f>
        <v>Bailey Peacock-Farrell</v>
      </c>
    </row>
    <row r="390" spans="10:11" x14ac:dyDescent="0.3">
      <c r="J390" s="10">
        <f>[1]FINAL!B390</f>
        <v>0</v>
      </c>
      <c r="K390" t="str">
        <f>[1]FINAL!A390</f>
        <v>Connor Roberts</v>
      </c>
    </row>
    <row r="391" spans="10:11" x14ac:dyDescent="0.3">
      <c r="J391" s="10">
        <f>[1]FINAL!B391</f>
        <v>0</v>
      </c>
      <c r="K391" t="str">
        <f>[1]FINAL!A391</f>
        <v>Jay Rodriguez</v>
      </c>
    </row>
    <row r="392" spans="10:11" x14ac:dyDescent="0.3">
      <c r="J392" s="10">
        <f>[1]FINAL!B392</f>
        <v>0</v>
      </c>
      <c r="K392" t="str">
        <f>[1]FINAL!A392</f>
        <v>Charlie Taylor</v>
      </c>
    </row>
    <row r="393" spans="10:11" x14ac:dyDescent="0.3">
      <c r="J393" s="10">
        <f>[1]FINAL!B393</f>
        <v>0</v>
      </c>
      <c r="K393" t="str">
        <f>[1]FINAL!A393</f>
        <v>Bobby Thomas</v>
      </c>
    </row>
    <row r="394" spans="10:11" x14ac:dyDescent="0.3">
      <c r="J394" s="10">
        <f>[1]FINAL!B394</f>
        <v>0</v>
      </c>
      <c r="K394" t="str">
        <f>[1]FINAL!A394</f>
        <v>Scott Twine</v>
      </c>
    </row>
    <row r="395" spans="10:11" x14ac:dyDescent="0.3">
      <c r="J395" s="10">
        <f>[1]FINAL!B395</f>
        <v>0</v>
      </c>
      <c r="K395" t="str">
        <f>[1]FINAL!A395</f>
        <v>Lawrence Vigouroux</v>
      </c>
    </row>
    <row r="396" spans="10:11" x14ac:dyDescent="0.3">
      <c r="J396" s="10">
        <f>[1]FINAL!B396</f>
        <v>0</v>
      </c>
      <c r="K396" t="str">
        <f>[1]FINAL!A396</f>
        <v>Victor da Silva</v>
      </c>
    </row>
    <row r="397" spans="10:11" x14ac:dyDescent="0.3">
      <c r="J397" s="10">
        <f>[1]FINAL!B397</f>
        <v>0</v>
      </c>
      <c r="K397" t="str">
        <f>[1]FINAL!A397</f>
        <v>Anass Zaroury</v>
      </c>
    </row>
    <row r="398" spans="10:11" x14ac:dyDescent="0.3">
      <c r="J398" s="10">
        <f>[1]FINAL!B398</f>
        <v>0</v>
      </c>
      <c r="K398" t="str">
        <f>[1]FINAL!A398</f>
        <v>Zeki Amdouni</v>
      </c>
    </row>
    <row r="399" spans="10:11" x14ac:dyDescent="0.3">
      <c r="J399" s="10">
        <f>[1]FINAL!B399</f>
        <v>0</v>
      </c>
      <c r="K399" t="str">
        <f>[1]FINAL!A399</f>
        <v>James Trafford</v>
      </c>
    </row>
    <row r="400" spans="10:11" x14ac:dyDescent="0.3">
      <c r="J400" s="10">
        <f>[1]FINAL!B400</f>
        <v>0</v>
      </c>
      <c r="K400" t="str">
        <f>[1]FINAL!A400</f>
        <v>Luca Koleosho</v>
      </c>
    </row>
    <row r="401" spans="10:11" x14ac:dyDescent="0.3">
      <c r="J401" s="10">
        <f>[1]FINAL!B401</f>
        <v>0</v>
      </c>
      <c r="K401" t="str">
        <f>[1]FINAL!A401</f>
        <v>Jacob Bruun Larsen</v>
      </c>
    </row>
    <row r="402" spans="10:11" x14ac:dyDescent="0.3">
      <c r="J402" s="10">
        <f>[1]FINAL!B402</f>
        <v>0</v>
      </c>
      <c r="K402" t="str">
        <f>[1]FINAL!A402</f>
        <v>Marvelous Nakamba</v>
      </c>
    </row>
    <row r="403" spans="10:11" x14ac:dyDescent="0.3">
      <c r="J403" s="10">
        <f>[1]FINAL!B403</f>
        <v>0</v>
      </c>
      <c r="K403" t="str">
        <f>[1]FINAL!A403</f>
        <v>Elijah Adebayo</v>
      </c>
    </row>
    <row r="404" spans="10:11" x14ac:dyDescent="0.3">
      <c r="J404" s="10">
        <f>[1]FINAL!B404</f>
        <v>0</v>
      </c>
      <c r="K404" t="str">
        <f>[1]FINAL!A404</f>
        <v>Mads Juel Andersen</v>
      </c>
    </row>
    <row r="405" spans="10:11" x14ac:dyDescent="0.3">
      <c r="J405" s="10">
        <f>[1]FINAL!B405</f>
        <v>0</v>
      </c>
      <c r="K405" t="str">
        <f>[1]FINAL!A405</f>
        <v>Amari'i Bell</v>
      </c>
    </row>
    <row r="406" spans="10:11" x14ac:dyDescent="0.3">
      <c r="J406" s="10">
        <f>[1]FINAL!B406</f>
        <v>0</v>
      </c>
      <c r="K406" t="str">
        <f>[1]FINAL!A406</f>
        <v>Luke Berry</v>
      </c>
    </row>
    <row r="407" spans="10:11" x14ac:dyDescent="0.3">
      <c r="J407" s="10">
        <f>[1]FINAL!B407</f>
        <v>0</v>
      </c>
      <c r="K407" t="str">
        <f>[1]FINAL!A407</f>
        <v>Reece Burke</v>
      </c>
    </row>
    <row r="408" spans="10:11" x14ac:dyDescent="0.3">
      <c r="J408" s="10">
        <f>[1]FINAL!B408</f>
        <v>0</v>
      </c>
      <c r="K408" t="str">
        <f>[1]FINAL!A408</f>
        <v>Allan Campbell</v>
      </c>
    </row>
    <row r="409" spans="10:11" x14ac:dyDescent="0.3">
      <c r="J409" s="10">
        <f>[1]FINAL!B409</f>
        <v>0</v>
      </c>
      <c r="K409" t="str">
        <f>[1]FINAL!A409</f>
        <v>Jordan Clark</v>
      </c>
    </row>
    <row r="410" spans="10:11" x14ac:dyDescent="0.3">
      <c r="J410" s="10">
        <f>[1]FINAL!B410</f>
        <v>0</v>
      </c>
      <c r="K410" t="str">
        <f>[1]FINAL!A410</f>
        <v>Alfie Doughty</v>
      </c>
    </row>
    <row r="411" spans="10:11" x14ac:dyDescent="0.3">
      <c r="J411" s="10">
        <f>[1]FINAL!B411</f>
        <v>0</v>
      </c>
      <c r="K411" t="str">
        <f>[1]FINAL!A411</f>
        <v>Luke Freeman</v>
      </c>
    </row>
    <row r="412" spans="10:11" x14ac:dyDescent="0.3">
      <c r="J412" s="10">
        <f>[1]FINAL!B412</f>
        <v>0</v>
      </c>
      <c r="K412" t="str">
        <f>[1]FINAL!A412</f>
        <v>Matt Macey</v>
      </c>
    </row>
    <row r="413" spans="10:11" x14ac:dyDescent="0.3">
      <c r="J413" s="10">
        <f>[1]FINAL!B413</f>
        <v>0</v>
      </c>
      <c r="K413" t="str">
        <f>[1]FINAL!A413</f>
        <v>John McAtee</v>
      </c>
    </row>
    <row r="414" spans="10:11" x14ac:dyDescent="0.3">
      <c r="J414" s="10">
        <f>[1]FINAL!B414</f>
        <v>0</v>
      </c>
      <c r="K414" t="str">
        <f>[1]FINAL!A414</f>
        <v>Carlos Mendes Gomes</v>
      </c>
    </row>
    <row r="415" spans="10:11" x14ac:dyDescent="0.3">
      <c r="J415" s="10">
        <f>[1]FINAL!B415</f>
        <v>0</v>
      </c>
      <c r="K415" t="str">
        <f>[1]FINAL!A415</f>
        <v>Carlton Morris</v>
      </c>
    </row>
    <row r="416" spans="10:11" x14ac:dyDescent="0.3">
      <c r="J416" s="10">
        <f>[1]FINAL!B416</f>
        <v>0</v>
      </c>
      <c r="K416" t="str">
        <f>[1]FINAL!A416</f>
        <v>Admiral Muskwe</v>
      </c>
    </row>
    <row r="417" spans="10:11" x14ac:dyDescent="0.3">
      <c r="J417" s="10">
        <f>[1]FINAL!B417</f>
        <v>0</v>
      </c>
      <c r="K417" t="str">
        <f>[1]FINAL!A417</f>
        <v>Chiedozie Ogbene</v>
      </c>
    </row>
    <row r="418" spans="10:11" x14ac:dyDescent="0.3">
      <c r="J418" s="10">
        <f>[1]FINAL!B418</f>
        <v>0</v>
      </c>
      <c r="K418" t="str">
        <f>[1]FINAL!A418</f>
        <v>Fred Onyedinma</v>
      </c>
    </row>
    <row r="419" spans="10:11" x14ac:dyDescent="0.3">
      <c r="J419" s="10">
        <f>[1]FINAL!B419</f>
        <v>0</v>
      </c>
      <c r="K419" t="str">
        <f>[1]FINAL!A419</f>
        <v>Gabriel Osho</v>
      </c>
    </row>
    <row r="420" spans="10:11" x14ac:dyDescent="0.3">
      <c r="J420" s="10">
        <f>[1]FINAL!B420</f>
        <v>0</v>
      </c>
      <c r="K420" t="str">
        <f>[1]FINAL!A420</f>
        <v>Aribim Pepple</v>
      </c>
    </row>
    <row r="421" spans="10:11" x14ac:dyDescent="0.3">
      <c r="J421" s="10">
        <f>[1]FINAL!B421</f>
        <v>0</v>
      </c>
      <c r="K421" t="str">
        <f>[1]FINAL!A421</f>
        <v>Dion Pereira</v>
      </c>
    </row>
    <row r="422" spans="10:11" x14ac:dyDescent="0.3">
      <c r="J422" s="10">
        <f>[1]FINAL!B422</f>
        <v>0</v>
      </c>
      <c r="K422" t="str">
        <f>[1]FINAL!A422</f>
        <v>Dan Potts</v>
      </c>
    </row>
    <row r="423" spans="10:11" x14ac:dyDescent="0.3">
      <c r="J423" s="10">
        <f>[1]FINAL!B423</f>
        <v>0</v>
      </c>
      <c r="K423" t="str">
        <f>[1]FINAL!A423</f>
        <v>Glen Rea</v>
      </c>
    </row>
    <row r="424" spans="10:11" x14ac:dyDescent="0.3">
      <c r="J424" s="10">
        <f>[1]FINAL!B424</f>
        <v>0</v>
      </c>
      <c r="K424" t="str">
        <f>[1]FINAL!A424</f>
        <v>James Shea</v>
      </c>
    </row>
    <row r="425" spans="10:11" x14ac:dyDescent="0.3">
      <c r="J425" s="10">
        <f>[1]FINAL!B425</f>
        <v>0</v>
      </c>
      <c r="K425" t="str">
        <f>[1]FINAL!A425</f>
        <v>Joe Taylor</v>
      </c>
    </row>
    <row r="426" spans="10:11" x14ac:dyDescent="0.3">
      <c r="J426" s="10">
        <f>[1]FINAL!B426</f>
        <v>0</v>
      </c>
      <c r="K426" t="str">
        <f>[1]FINAL!A426</f>
        <v>Elliot Thorpe</v>
      </c>
    </row>
    <row r="427" spans="10:11" x14ac:dyDescent="0.3">
      <c r="J427" s="10">
        <f>[1]FINAL!B427</f>
        <v>0</v>
      </c>
      <c r="K427" t="str">
        <f>[1]FINAL!A427</f>
        <v>Jack Walton</v>
      </c>
    </row>
    <row r="428" spans="10:11" x14ac:dyDescent="0.3">
      <c r="J428" s="10">
        <f>[1]FINAL!B428</f>
        <v>0</v>
      </c>
      <c r="K428" t="str">
        <f>[1]FINAL!A428</f>
        <v>Louie Watson</v>
      </c>
    </row>
    <row r="429" spans="10:11" x14ac:dyDescent="0.3">
      <c r="J429" s="10">
        <f>[1]FINAL!B429</f>
        <v>0</v>
      </c>
      <c r="K429" t="str">
        <f>[1]FINAL!A429</f>
        <v>Cauley Woodrow</v>
      </c>
    </row>
    <row r="430" spans="10:11" x14ac:dyDescent="0.3">
      <c r="J430" s="10">
        <f>[1]FINAL!B430</f>
        <v>0</v>
      </c>
      <c r="K430" t="str">
        <f>[1]FINAL!A430</f>
        <v>Tom Lockyer</v>
      </c>
    </row>
    <row r="431" spans="10:11" x14ac:dyDescent="0.3">
      <c r="J431" s="10">
        <f>[1]FINAL!B431</f>
        <v>0</v>
      </c>
      <c r="K431" t="str">
        <f>[1]FINAL!A431</f>
        <v>Pelly Ruddock Mpanzu</v>
      </c>
    </row>
    <row r="432" spans="10:11" x14ac:dyDescent="0.3">
      <c r="J432" s="10">
        <f>[1]FINAL!B432</f>
        <v>0</v>
      </c>
      <c r="K432" t="str">
        <f>[1]FINAL!A432</f>
        <v>Tahith Chong</v>
      </c>
    </row>
    <row r="433" spans="10:11" x14ac:dyDescent="0.3">
      <c r="J433" s="10">
        <f>[1]FINAL!B433</f>
        <v>0</v>
      </c>
      <c r="K433" t="str">
        <f>[1]FINAL!A433</f>
        <v>Issa Kaboré</v>
      </c>
    </row>
    <row r="434" spans="10:11" x14ac:dyDescent="0.3">
      <c r="J434" s="10">
        <f>[1]FINAL!B434</f>
        <v>0</v>
      </c>
      <c r="K434" t="str">
        <f>[1]FINAL!A434</f>
        <v>Anel Ahmedhodžić</v>
      </c>
    </row>
    <row r="435" spans="10:11" x14ac:dyDescent="0.3">
      <c r="J435" s="10">
        <f>[1]FINAL!B435</f>
        <v>0</v>
      </c>
      <c r="K435" t="str">
        <f>[1]FINAL!A435</f>
        <v>Jordan Amissah</v>
      </c>
    </row>
    <row r="436" spans="10:11" x14ac:dyDescent="0.3">
      <c r="J436" s="10">
        <f>[1]FINAL!B436</f>
        <v>0</v>
      </c>
      <c r="K436" t="str">
        <f>[1]FINAL!A436</f>
        <v>Chris Basham</v>
      </c>
    </row>
    <row r="437" spans="10:11" x14ac:dyDescent="0.3">
      <c r="J437" s="10">
        <f>[1]FINAL!B437</f>
        <v>0</v>
      </c>
      <c r="K437" t="str">
        <f>[1]FINAL!A437</f>
        <v>Sander Berge</v>
      </c>
    </row>
    <row r="438" spans="10:11" x14ac:dyDescent="0.3">
      <c r="J438" s="10">
        <f>[1]FINAL!B438</f>
        <v>0</v>
      </c>
      <c r="K438" t="str">
        <f>[1]FINAL!A438</f>
        <v>Jayden Bogle</v>
      </c>
    </row>
    <row r="439" spans="10:11" x14ac:dyDescent="0.3">
      <c r="J439" s="10">
        <f>[1]FINAL!B439</f>
        <v>0</v>
      </c>
      <c r="K439" t="str">
        <f>[1]FINAL!A439</f>
        <v>Rhian Brewster</v>
      </c>
    </row>
    <row r="440" spans="10:11" x14ac:dyDescent="0.3">
      <c r="J440" s="10">
        <f>[1]FINAL!B440</f>
        <v>0</v>
      </c>
      <c r="K440" t="str">
        <f>[1]FINAL!A440</f>
        <v>Ismaila Coulibaly</v>
      </c>
    </row>
    <row r="441" spans="10:11" x14ac:dyDescent="0.3">
      <c r="J441" s="10">
        <f>[1]FINAL!B441</f>
        <v>0</v>
      </c>
      <c r="K441" t="str">
        <f>[1]FINAL!A441</f>
        <v>Adam Davies</v>
      </c>
    </row>
    <row r="442" spans="10:11" x14ac:dyDescent="0.3">
      <c r="J442" s="10">
        <f>[1]FINAL!B442</f>
        <v>0</v>
      </c>
      <c r="K442" t="str">
        <f>[1]FINAL!A442</f>
        <v>John Egan</v>
      </c>
    </row>
    <row r="443" spans="10:11" x14ac:dyDescent="0.3">
      <c r="J443" s="10">
        <f>[1]FINAL!B443</f>
        <v>0</v>
      </c>
      <c r="K443" t="str">
        <f>[1]FINAL!A443</f>
        <v>John Fleck</v>
      </c>
    </row>
    <row r="444" spans="10:11" x14ac:dyDescent="0.3">
      <c r="J444" s="10">
        <f>[1]FINAL!B444</f>
        <v>0</v>
      </c>
      <c r="K444" t="str">
        <f>[1]FINAL!A444</f>
        <v>Wes Foderingham</v>
      </c>
    </row>
    <row r="445" spans="10:11" x14ac:dyDescent="0.3">
      <c r="J445" s="10">
        <f>[1]FINAL!B445</f>
        <v>0</v>
      </c>
      <c r="K445" t="str">
        <f>[1]FINAL!A445</f>
        <v>Daniel Jebbison</v>
      </c>
    </row>
    <row r="446" spans="10:11" x14ac:dyDescent="0.3">
      <c r="J446" s="10">
        <f>[1]FINAL!B446</f>
        <v>0</v>
      </c>
      <c r="K446" t="str">
        <f>[1]FINAL!A446</f>
        <v>Max Lowe</v>
      </c>
    </row>
    <row r="447" spans="10:11" x14ac:dyDescent="0.3">
      <c r="J447" s="10">
        <f>[1]FINAL!B447</f>
        <v>0</v>
      </c>
      <c r="K447" t="str">
        <f>[1]FINAL!A447</f>
        <v>Oliver McBurnie</v>
      </c>
    </row>
    <row r="448" spans="10:11" x14ac:dyDescent="0.3">
      <c r="J448" s="10">
        <f>[1]FINAL!B448</f>
        <v>0</v>
      </c>
      <c r="K448" t="str">
        <f>[1]FINAL!A448</f>
        <v>Iliman Ndiaye</v>
      </c>
    </row>
    <row r="449" spans="10:11" x14ac:dyDescent="0.3">
      <c r="J449" s="10">
        <f>[1]FINAL!B449</f>
        <v>0</v>
      </c>
      <c r="K449" t="str">
        <f>[1]FINAL!A449</f>
        <v>Rhys Norrington-Davies</v>
      </c>
    </row>
    <row r="450" spans="10:11" x14ac:dyDescent="0.3">
      <c r="J450" s="10">
        <f>[1]FINAL!B450</f>
        <v>0</v>
      </c>
      <c r="K450" t="str">
        <f>[1]FINAL!A450</f>
        <v>Oliver Norwood</v>
      </c>
    </row>
    <row r="451" spans="10:11" x14ac:dyDescent="0.3">
      <c r="J451" s="10">
        <f>[1]FINAL!B451</f>
        <v>0</v>
      </c>
      <c r="K451" t="str">
        <f>[1]FINAL!A451</f>
        <v>Ben Osborn</v>
      </c>
    </row>
    <row r="452" spans="10:11" x14ac:dyDescent="0.3">
      <c r="J452" s="10">
        <f>[1]FINAL!B452</f>
        <v>0</v>
      </c>
      <c r="K452" t="str">
        <f>[1]FINAL!A452</f>
        <v>William Osula</v>
      </c>
    </row>
    <row r="453" spans="10:11" x14ac:dyDescent="0.3">
      <c r="J453" s="10">
        <f>[1]FINAL!B453</f>
        <v>0</v>
      </c>
      <c r="K453" t="str">
        <f>[1]FINAL!A453</f>
        <v>Jack Robinson</v>
      </c>
    </row>
    <row r="454" spans="10:11" x14ac:dyDescent="0.3">
      <c r="J454" s="10">
        <f>[1]FINAL!B454</f>
        <v>0</v>
      </c>
      <c r="K454" t="str">
        <f>[1]FINAL!A454</f>
        <v>Anis Slimane</v>
      </c>
    </row>
    <row r="455" spans="10:11" x14ac:dyDescent="0.3">
      <c r="J455" s="10">
        <f>[1]FINAL!B455</f>
        <v>0</v>
      </c>
      <c r="K455" t="str">
        <f>[1]FINAL!A455</f>
        <v>Yasser Larouci</v>
      </c>
    </row>
    <row r="456" spans="10:11" x14ac:dyDescent="0.3">
      <c r="J456" s="10">
        <f>[1]FINAL!B456</f>
        <v>0</v>
      </c>
      <c r="K456" t="str">
        <f>[1]FINAL!A456</f>
        <v>Bénie Traoré</v>
      </c>
    </row>
    <row r="457" spans="10:11" x14ac:dyDescent="0.3">
      <c r="J457" s="10">
        <f>[1]FINAL!B457</f>
        <v>0</v>
      </c>
      <c r="K457">
        <f>[1]FINAL!A457</f>
        <v>0</v>
      </c>
    </row>
    <row r="458" spans="10:11" x14ac:dyDescent="0.3">
      <c r="J458" s="10">
        <f>[1]FINAL!B458</f>
        <v>0</v>
      </c>
      <c r="K458">
        <f>[1]FINAL!A458</f>
        <v>0</v>
      </c>
    </row>
    <row r="459" spans="10:11" x14ac:dyDescent="0.3">
      <c r="J459" s="10">
        <f>[1]FINAL!B459</f>
        <v>0</v>
      </c>
      <c r="K459">
        <f>[1]FINAL!A459</f>
        <v>0</v>
      </c>
    </row>
    <row r="460" spans="10:11" x14ac:dyDescent="0.3">
      <c r="J460" s="10">
        <f>[1]FINAL!B460</f>
        <v>0</v>
      </c>
      <c r="K460">
        <f>[1]FINAL!A460</f>
        <v>0</v>
      </c>
    </row>
    <row r="461" spans="10:11" x14ac:dyDescent="0.3">
      <c r="J461" s="10">
        <f>[1]FINAL!B461</f>
        <v>0</v>
      </c>
      <c r="K461">
        <f>[1]FINAL!A461</f>
        <v>0</v>
      </c>
    </row>
    <row r="462" spans="10:11" x14ac:dyDescent="0.3">
      <c r="J462" s="10">
        <f>[1]FINAL!B462</f>
        <v>0</v>
      </c>
      <c r="K462">
        <f>[1]FINAL!A462</f>
        <v>0</v>
      </c>
    </row>
    <row r="463" spans="10:11" x14ac:dyDescent="0.3">
      <c r="J463" s="10">
        <f>[1]FINAL!B463</f>
        <v>0</v>
      </c>
      <c r="K463">
        <f>[1]FINAL!A463</f>
        <v>0</v>
      </c>
    </row>
    <row r="464" spans="10:11" x14ac:dyDescent="0.3">
      <c r="J464" s="10">
        <f>[1]FINAL!B464</f>
        <v>0</v>
      </c>
      <c r="K464">
        <f>[1]FINAL!A464</f>
        <v>0</v>
      </c>
    </row>
    <row r="465" spans="10:11" x14ac:dyDescent="0.3">
      <c r="J465" s="10">
        <f>[1]FINAL!B465</f>
        <v>0</v>
      </c>
      <c r="K465">
        <f>[1]FINAL!A465</f>
        <v>0</v>
      </c>
    </row>
    <row r="466" spans="10:11" x14ac:dyDescent="0.3">
      <c r="J466" s="10">
        <f>[1]FINAL!B466</f>
        <v>0</v>
      </c>
      <c r="K466">
        <f>[1]FINAL!A466</f>
        <v>0</v>
      </c>
    </row>
    <row r="467" spans="10:11" x14ac:dyDescent="0.3">
      <c r="J467" s="10">
        <f>[1]FINAL!B467</f>
        <v>0</v>
      </c>
      <c r="K467">
        <f>[1]FINAL!A467</f>
        <v>0</v>
      </c>
    </row>
    <row r="468" spans="10:11" x14ac:dyDescent="0.3">
      <c r="J468" s="10">
        <f>[1]FINAL!B468</f>
        <v>0</v>
      </c>
      <c r="K468">
        <f>[1]FINAL!A468</f>
        <v>0</v>
      </c>
    </row>
    <row r="469" spans="10:11" x14ac:dyDescent="0.3">
      <c r="J469" s="10">
        <f>[1]FINAL!B469</f>
        <v>0</v>
      </c>
      <c r="K469">
        <f>[1]FINAL!A469</f>
        <v>0</v>
      </c>
    </row>
    <row r="470" spans="10:11" x14ac:dyDescent="0.3">
      <c r="J470" s="10">
        <f>[1]FINAL!B470</f>
        <v>0</v>
      </c>
      <c r="K470">
        <f>[1]FINAL!A470</f>
        <v>0</v>
      </c>
    </row>
    <row r="471" spans="10:11" x14ac:dyDescent="0.3">
      <c r="J471" s="10">
        <f>[1]FINAL!B471</f>
        <v>0</v>
      </c>
      <c r="K471">
        <f>[1]FINAL!A471</f>
        <v>0</v>
      </c>
    </row>
    <row r="472" spans="10:11" x14ac:dyDescent="0.3">
      <c r="J472" s="10">
        <f>[1]FINAL!B472</f>
        <v>0</v>
      </c>
      <c r="K472">
        <f>[1]FINAL!A472</f>
        <v>0</v>
      </c>
    </row>
    <row r="473" spans="10:11" x14ac:dyDescent="0.3">
      <c r="J473" s="10">
        <f>[1]FINAL!B473</f>
        <v>0</v>
      </c>
      <c r="K473">
        <f>[1]FINAL!A473</f>
        <v>0</v>
      </c>
    </row>
    <row r="474" spans="10:11" x14ac:dyDescent="0.3">
      <c r="J474" s="10">
        <f>[1]FINAL!B474</f>
        <v>0</v>
      </c>
      <c r="K474">
        <f>[1]FINAL!A474</f>
        <v>0</v>
      </c>
    </row>
    <row r="475" spans="10:11" x14ac:dyDescent="0.3">
      <c r="J475" s="10">
        <f>[1]FINAL!B475</f>
        <v>0</v>
      </c>
      <c r="K475">
        <f>[1]FINAL!A475</f>
        <v>0</v>
      </c>
    </row>
    <row r="476" spans="10:11" x14ac:dyDescent="0.3">
      <c r="J476" s="10">
        <f>[1]FINAL!B476</f>
        <v>0</v>
      </c>
      <c r="K476">
        <f>[1]FINAL!A476</f>
        <v>0</v>
      </c>
    </row>
    <row r="477" spans="10:11" x14ac:dyDescent="0.3">
      <c r="J477" s="10">
        <f>[1]FINAL!B477</f>
        <v>0</v>
      </c>
      <c r="K477">
        <f>[1]FINAL!A477</f>
        <v>0</v>
      </c>
    </row>
    <row r="478" spans="10:11" x14ac:dyDescent="0.3">
      <c r="J478" s="10">
        <f>[1]FINAL!B478</f>
        <v>0</v>
      </c>
      <c r="K478">
        <f>[1]FINAL!A478</f>
        <v>0</v>
      </c>
    </row>
    <row r="479" spans="10:11" x14ac:dyDescent="0.3">
      <c r="J479" s="10">
        <f>[1]FINAL!B479</f>
        <v>0</v>
      </c>
      <c r="K479">
        <f>[1]FINAL!A479</f>
        <v>0</v>
      </c>
    </row>
    <row r="480" spans="10:11" x14ac:dyDescent="0.3">
      <c r="J480" s="10">
        <f>[1]FINAL!B480</f>
        <v>0</v>
      </c>
      <c r="K480">
        <f>[1]FINAL!A480</f>
        <v>0</v>
      </c>
    </row>
    <row r="481" spans="10:11" x14ac:dyDescent="0.3">
      <c r="J481" s="10">
        <f>[1]FINAL!B481</f>
        <v>0</v>
      </c>
      <c r="K481">
        <f>[1]FINAL!A481</f>
        <v>0</v>
      </c>
    </row>
    <row r="482" spans="10:11" x14ac:dyDescent="0.3">
      <c r="J482" s="10">
        <f>[1]FINAL!B482</f>
        <v>0</v>
      </c>
      <c r="K482">
        <f>[1]FINAL!A482</f>
        <v>0</v>
      </c>
    </row>
    <row r="483" spans="10:11" x14ac:dyDescent="0.3">
      <c r="J483" s="10">
        <f>[1]FINAL!B483</f>
        <v>0</v>
      </c>
      <c r="K483">
        <f>[1]FINAL!A483</f>
        <v>0</v>
      </c>
    </row>
    <row r="484" spans="10:11" x14ac:dyDescent="0.3">
      <c r="J484" s="10">
        <f>[1]FINAL!B484</f>
        <v>0</v>
      </c>
      <c r="K484">
        <f>[1]FINAL!A484</f>
        <v>0</v>
      </c>
    </row>
    <row r="485" spans="10:11" x14ac:dyDescent="0.3">
      <c r="J485" s="10">
        <f>[1]FINAL!B485</f>
        <v>0</v>
      </c>
      <c r="K485">
        <f>[1]FINAL!A485</f>
        <v>0</v>
      </c>
    </row>
    <row r="486" spans="10:11" x14ac:dyDescent="0.3">
      <c r="J486" s="10">
        <f>[1]FINAL!B486</f>
        <v>0</v>
      </c>
      <c r="K486">
        <f>[1]FINAL!A486</f>
        <v>0</v>
      </c>
    </row>
    <row r="487" spans="10:11" x14ac:dyDescent="0.3">
      <c r="J487" s="10">
        <f>[1]FINAL!B487</f>
        <v>0</v>
      </c>
      <c r="K487">
        <f>[1]FINAL!A487</f>
        <v>0</v>
      </c>
    </row>
    <row r="488" spans="10:11" x14ac:dyDescent="0.3">
      <c r="J488" s="10">
        <f>[1]FINAL!B488</f>
        <v>0</v>
      </c>
      <c r="K488">
        <f>[1]FINAL!A488</f>
        <v>0</v>
      </c>
    </row>
    <row r="489" spans="10:11" x14ac:dyDescent="0.3">
      <c r="J489" s="10">
        <f>[1]FINAL!B489</f>
        <v>0</v>
      </c>
      <c r="K489">
        <f>[1]FINAL!A489</f>
        <v>0</v>
      </c>
    </row>
    <row r="490" spans="10:11" x14ac:dyDescent="0.3">
      <c r="J490" s="10">
        <f>[1]FINAL!B490</f>
        <v>0</v>
      </c>
      <c r="K490">
        <f>[1]FINAL!A490</f>
        <v>0</v>
      </c>
    </row>
    <row r="491" spans="10:11" x14ac:dyDescent="0.3">
      <c r="J491" s="10">
        <f>[1]FINAL!B491</f>
        <v>0</v>
      </c>
      <c r="K491">
        <f>[1]FINAL!A491</f>
        <v>0</v>
      </c>
    </row>
    <row r="492" spans="10:11" x14ac:dyDescent="0.3">
      <c r="J492" s="10">
        <f>[1]FINAL!B492</f>
        <v>0</v>
      </c>
      <c r="K492">
        <f>[1]FINAL!A492</f>
        <v>0</v>
      </c>
    </row>
    <row r="493" spans="10:11" x14ac:dyDescent="0.3">
      <c r="J493" s="10">
        <f>[1]FINAL!B493</f>
        <v>0</v>
      </c>
      <c r="K493">
        <f>[1]FINAL!A493</f>
        <v>0</v>
      </c>
    </row>
    <row r="494" spans="10:11" x14ac:dyDescent="0.3">
      <c r="J494" s="10">
        <f>[1]FINAL!B494</f>
        <v>0</v>
      </c>
      <c r="K494">
        <f>[1]FINAL!A494</f>
        <v>0</v>
      </c>
    </row>
    <row r="495" spans="10:11" x14ac:dyDescent="0.3">
      <c r="J495" s="10">
        <f>[1]FINAL!B495</f>
        <v>0</v>
      </c>
      <c r="K495">
        <f>[1]FINAL!A495</f>
        <v>0</v>
      </c>
    </row>
    <row r="496" spans="10:11" x14ac:dyDescent="0.3">
      <c r="J496" s="10">
        <f>[1]FINAL!B496</f>
        <v>0</v>
      </c>
      <c r="K496">
        <f>[1]FINAL!A496</f>
        <v>0</v>
      </c>
    </row>
    <row r="497" spans="10:11" x14ac:dyDescent="0.3">
      <c r="J497" s="10">
        <f>[1]FINAL!B497</f>
        <v>0</v>
      </c>
      <c r="K497">
        <f>[1]FINAL!A497</f>
        <v>0</v>
      </c>
    </row>
    <row r="498" spans="10:11" x14ac:dyDescent="0.3">
      <c r="J498" s="10">
        <f>[1]FINAL!B498</f>
        <v>0</v>
      </c>
      <c r="K498">
        <f>[1]FINAL!A498</f>
        <v>0</v>
      </c>
    </row>
    <row r="499" spans="10:11" x14ac:dyDescent="0.3">
      <c r="J499" s="10">
        <f>[1]FINAL!B499</f>
        <v>0</v>
      </c>
      <c r="K499">
        <f>[1]FINAL!A499</f>
        <v>0</v>
      </c>
    </row>
    <row r="500" spans="10:11" x14ac:dyDescent="0.3">
      <c r="J500" s="10">
        <f>[1]FINAL!B500</f>
        <v>0</v>
      </c>
      <c r="K500">
        <f>[1]FINAL!A500</f>
        <v>0</v>
      </c>
    </row>
    <row r="501" spans="10:11" x14ac:dyDescent="0.3">
      <c r="J501" s="10">
        <f>[1]FINAL!B501</f>
        <v>0</v>
      </c>
      <c r="K501">
        <f>[1]FINAL!A501</f>
        <v>0</v>
      </c>
    </row>
    <row r="502" spans="10:11" x14ac:dyDescent="0.3">
      <c r="J502" s="10">
        <f>[1]FINAL!B502</f>
        <v>0</v>
      </c>
      <c r="K502">
        <f>[1]FINAL!A502</f>
        <v>0</v>
      </c>
    </row>
    <row r="503" spans="10:11" x14ac:dyDescent="0.3">
      <c r="J503" s="10">
        <f>[1]FINAL!B503</f>
        <v>0</v>
      </c>
      <c r="K503">
        <f>[1]FINAL!A503</f>
        <v>0</v>
      </c>
    </row>
    <row r="504" spans="10:11" x14ac:dyDescent="0.3">
      <c r="J504" s="10">
        <f>[1]FINAL!B504</f>
        <v>0</v>
      </c>
      <c r="K504">
        <f>[1]FINAL!A504</f>
        <v>0</v>
      </c>
    </row>
    <row r="505" spans="10:11" x14ac:dyDescent="0.3">
      <c r="J505" s="10">
        <f>[1]FINAL!B505</f>
        <v>0</v>
      </c>
      <c r="K505">
        <f>[1]FINAL!A505</f>
        <v>0</v>
      </c>
    </row>
    <row r="506" spans="10:11" x14ac:dyDescent="0.3">
      <c r="J506" s="10">
        <f>[1]FINAL!B506</f>
        <v>0</v>
      </c>
      <c r="K506">
        <f>[1]FINAL!A506</f>
        <v>0</v>
      </c>
    </row>
    <row r="507" spans="10:11" x14ac:dyDescent="0.3">
      <c r="J507" s="10">
        <f>[1]FINAL!B507</f>
        <v>0</v>
      </c>
      <c r="K507">
        <f>[1]FINAL!A507</f>
        <v>0</v>
      </c>
    </row>
    <row r="508" spans="10:11" x14ac:dyDescent="0.3">
      <c r="J508" s="10">
        <f>[1]FINAL!B508</f>
        <v>0</v>
      </c>
      <c r="K508">
        <f>[1]FINAL!A508</f>
        <v>0</v>
      </c>
    </row>
    <row r="509" spans="10:11" x14ac:dyDescent="0.3">
      <c r="J509" s="10">
        <f>[1]FINAL!B509</f>
        <v>0</v>
      </c>
      <c r="K509">
        <f>[1]FINAL!A509</f>
        <v>0</v>
      </c>
    </row>
    <row r="510" spans="10:11" x14ac:dyDescent="0.3">
      <c r="J510" s="10">
        <f>[1]FINAL!B510</f>
        <v>0</v>
      </c>
      <c r="K510">
        <f>[1]FINAL!A510</f>
        <v>0</v>
      </c>
    </row>
    <row r="511" spans="10:11" x14ac:dyDescent="0.3">
      <c r="J511" s="10">
        <f>[1]FINAL!B511</f>
        <v>0</v>
      </c>
      <c r="K511">
        <f>[1]FINAL!A511</f>
        <v>0</v>
      </c>
    </row>
    <row r="512" spans="10:11" x14ac:dyDescent="0.3">
      <c r="J512" s="10">
        <f>[1]FINAL!B512</f>
        <v>0</v>
      </c>
      <c r="K512">
        <f>[1]FINAL!A512</f>
        <v>0</v>
      </c>
    </row>
    <row r="513" spans="10:11" x14ac:dyDescent="0.3">
      <c r="J513" s="10">
        <f>[1]FINAL!B513</f>
        <v>0</v>
      </c>
      <c r="K513">
        <f>[1]FINAL!A513</f>
        <v>0</v>
      </c>
    </row>
    <row r="514" spans="10:11" x14ac:dyDescent="0.3">
      <c r="J514" s="10">
        <f>[1]FINAL!B514</f>
        <v>0</v>
      </c>
      <c r="K514">
        <f>[1]FINAL!A514</f>
        <v>0</v>
      </c>
    </row>
    <row r="515" spans="10:11" x14ac:dyDescent="0.3">
      <c r="J515" s="10">
        <f>[1]FINAL!B515</f>
        <v>0</v>
      </c>
      <c r="K515">
        <f>[1]FINAL!A515</f>
        <v>0</v>
      </c>
    </row>
    <row r="516" spans="10:11" x14ac:dyDescent="0.3">
      <c r="J516" s="10">
        <f>[1]FINAL!B516</f>
        <v>0</v>
      </c>
      <c r="K516">
        <f>[1]FINAL!A516</f>
        <v>0</v>
      </c>
    </row>
    <row r="517" spans="10:11" x14ac:dyDescent="0.3">
      <c r="J517" s="10">
        <f>[1]FINAL!B517</f>
        <v>0</v>
      </c>
      <c r="K517">
        <f>[1]FINAL!A517</f>
        <v>0</v>
      </c>
    </row>
    <row r="518" spans="10:11" x14ac:dyDescent="0.3">
      <c r="J518" s="10">
        <f>[1]FINAL!B518</f>
        <v>0</v>
      </c>
      <c r="K518">
        <f>[1]FINAL!A518</f>
        <v>0</v>
      </c>
    </row>
    <row r="519" spans="10:11" x14ac:dyDescent="0.3">
      <c r="J519" s="10">
        <f>[1]FINAL!B519</f>
        <v>0</v>
      </c>
      <c r="K519">
        <f>[1]FINAL!A519</f>
        <v>0</v>
      </c>
    </row>
    <row r="520" spans="10:11" x14ac:dyDescent="0.3">
      <c r="J520" s="10">
        <f>[1]FINAL!B520</f>
        <v>0</v>
      </c>
      <c r="K520">
        <f>[1]FINAL!A520</f>
        <v>0</v>
      </c>
    </row>
    <row r="521" spans="10:11" x14ac:dyDescent="0.3">
      <c r="J521" s="10">
        <f>[1]FINAL!B521</f>
        <v>0</v>
      </c>
      <c r="K521">
        <f>[1]FINAL!A521</f>
        <v>0</v>
      </c>
    </row>
    <row r="522" spans="10:11" x14ac:dyDescent="0.3">
      <c r="J522" s="10">
        <f>[1]FINAL!B522</f>
        <v>0</v>
      </c>
      <c r="K522">
        <f>[1]FINAL!A522</f>
        <v>0</v>
      </c>
    </row>
    <row r="523" spans="10:11" x14ac:dyDescent="0.3">
      <c r="J523" s="10">
        <f>[1]FINAL!B523</f>
        <v>0</v>
      </c>
      <c r="K523">
        <f>[1]FINAL!A523</f>
        <v>0</v>
      </c>
    </row>
    <row r="524" spans="10:11" x14ac:dyDescent="0.3">
      <c r="J524" s="10">
        <f>[1]FINAL!B524</f>
        <v>0</v>
      </c>
      <c r="K524">
        <f>[1]FINAL!A524</f>
        <v>0</v>
      </c>
    </row>
    <row r="525" spans="10:11" x14ac:dyDescent="0.3">
      <c r="J525" s="10">
        <f>[1]FINAL!B525</f>
        <v>0</v>
      </c>
      <c r="K525">
        <f>[1]FINAL!A525</f>
        <v>0</v>
      </c>
    </row>
    <row r="526" spans="10:11" x14ac:dyDescent="0.3">
      <c r="J526" s="10">
        <f>[1]FINAL!B526</f>
        <v>0</v>
      </c>
      <c r="K526">
        <f>[1]FINAL!A526</f>
        <v>0</v>
      </c>
    </row>
    <row r="527" spans="10:11" x14ac:dyDescent="0.3">
      <c r="J527" s="10">
        <f>[1]FINAL!B527</f>
        <v>0</v>
      </c>
      <c r="K527">
        <f>[1]FINAL!A527</f>
        <v>0</v>
      </c>
    </row>
    <row r="528" spans="10:11" x14ac:dyDescent="0.3">
      <c r="J528" s="10">
        <f>[1]FINAL!B528</f>
        <v>0</v>
      </c>
      <c r="K528">
        <f>[1]FINAL!A528</f>
        <v>0</v>
      </c>
    </row>
    <row r="529" spans="10:11" x14ac:dyDescent="0.3">
      <c r="J529" s="10">
        <f>[1]FINAL!B529</f>
        <v>0</v>
      </c>
      <c r="K529">
        <f>[1]FINAL!A529</f>
        <v>0</v>
      </c>
    </row>
    <row r="530" spans="10:11" x14ac:dyDescent="0.3">
      <c r="J530" s="10">
        <f>[1]FINAL!B530</f>
        <v>0</v>
      </c>
      <c r="K530">
        <f>[1]FINAL!A530</f>
        <v>0</v>
      </c>
    </row>
    <row r="531" spans="10:11" x14ac:dyDescent="0.3">
      <c r="J531" s="10">
        <f>[1]FINAL!B531</f>
        <v>0</v>
      </c>
      <c r="K531">
        <f>[1]FINAL!A531</f>
        <v>0</v>
      </c>
    </row>
    <row r="532" spans="10:11" x14ac:dyDescent="0.3">
      <c r="J532" s="10">
        <f>[1]FINAL!B532</f>
        <v>0</v>
      </c>
      <c r="K532">
        <f>[1]FINAL!A532</f>
        <v>0</v>
      </c>
    </row>
    <row r="533" spans="10:11" x14ac:dyDescent="0.3">
      <c r="J533" s="10">
        <f>[1]FINAL!B533</f>
        <v>0</v>
      </c>
      <c r="K533">
        <f>[1]FINAL!A533</f>
        <v>0</v>
      </c>
    </row>
    <row r="534" spans="10:11" x14ac:dyDescent="0.3">
      <c r="J534" s="10">
        <f>[1]FINAL!B534</f>
        <v>0</v>
      </c>
      <c r="K534">
        <f>[1]FINAL!A534</f>
        <v>0</v>
      </c>
    </row>
    <row r="535" spans="10:11" x14ac:dyDescent="0.3">
      <c r="J535" s="10">
        <f>[1]FINAL!B535</f>
        <v>0</v>
      </c>
      <c r="K535">
        <f>[1]FINAL!A535</f>
        <v>0</v>
      </c>
    </row>
    <row r="536" spans="10:11" x14ac:dyDescent="0.3">
      <c r="J536" s="10">
        <f>[1]FINAL!B536</f>
        <v>0</v>
      </c>
      <c r="K536">
        <f>[1]FINAL!A536</f>
        <v>0</v>
      </c>
    </row>
    <row r="537" spans="10:11" x14ac:dyDescent="0.3">
      <c r="J537" s="10">
        <f>[1]FINAL!B537</f>
        <v>0</v>
      </c>
      <c r="K537">
        <f>[1]FINAL!A537</f>
        <v>0</v>
      </c>
    </row>
    <row r="538" spans="10:11" x14ac:dyDescent="0.3">
      <c r="J538" s="10">
        <f>[1]FINAL!B538</f>
        <v>0</v>
      </c>
      <c r="K538">
        <f>[1]FINAL!A538</f>
        <v>0</v>
      </c>
    </row>
    <row r="539" spans="10:11" x14ac:dyDescent="0.3">
      <c r="J539" s="10">
        <f>[1]FINAL!B539</f>
        <v>0</v>
      </c>
      <c r="K539">
        <f>[1]FINAL!A539</f>
        <v>0</v>
      </c>
    </row>
    <row r="540" spans="10:11" x14ac:dyDescent="0.3">
      <c r="J540" s="10">
        <f>[1]FINAL!B540</f>
        <v>0</v>
      </c>
      <c r="K540">
        <f>[1]FINAL!A540</f>
        <v>0</v>
      </c>
    </row>
    <row r="541" spans="10:11" x14ac:dyDescent="0.3">
      <c r="J541" s="10">
        <f>[1]FINAL!B541</f>
        <v>0</v>
      </c>
      <c r="K541">
        <f>[1]FINAL!A541</f>
        <v>0</v>
      </c>
    </row>
    <row r="542" spans="10:11" x14ac:dyDescent="0.3">
      <c r="J542" s="10">
        <f>[1]FINAL!B542</f>
        <v>0</v>
      </c>
      <c r="K542">
        <f>[1]FINAL!A542</f>
        <v>0</v>
      </c>
    </row>
    <row r="543" spans="10:11" x14ac:dyDescent="0.3">
      <c r="J543" s="10">
        <f>[1]FINAL!B543</f>
        <v>0</v>
      </c>
      <c r="K543">
        <f>[1]FINAL!A543</f>
        <v>0</v>
      </c>
    </row>
    <row r="544" spans="10:11" x14ac:dyDescent="0.3">
      <c r="J544" s="10">
        <f>[1]FINAL!B544</f>
        <v>0</v>
      </c>
      <c r="K544">
        <f>[1]FINAL!A544</f>
        <v>0</v>
      </c>
    </row>
    <row r="545" spans="10:11" x14ac:dyDescent="0.3">
      <c r="J545" s="10">
        <f>[1]FINAL!B545</f>
        <v>0</v>
      </c>
      <c r="K545">
        <f>[1]FINAL!A545</f>
        <v>0</v>
      </c>
    </row>
    <row r="546" spans="10:11" x14ac:dyDescent="0.3">
      <c r="J546" s="10">
        <f>[1]FINAL!B546</f>
        <v>0</v>
      </c>
      <c r="K546">
        <f>[1]FINAL!A546</f>
        <v>0</v>
      </c>
    </row>
    <row r="547" spans="10:11" x14ac:dyDescent="0.3">
      <c r="J547" s="10">
        <f>[1]FINAL!B547</f>
        <v>0</v>
      </c>
      <c r="K547">
        <f>[1]FINAL!A547</f>
        <v>0</v>
      </c>
    </row>
    <row r="548" spans="10:11" x14ac:dyDescent="0.3">
      <c r="J548" s="10">
        <f>[1]FINAL!B548</f>
        <v>0</v>
      </c>
      <c r="K548">
        <f>[1]FINAL!A548</f>
        <v>0</v>
      </c>
    </row>
    <row r="549" spans="10:11" x14ac:dyDescent="0.3">
      <c r="J549" s="10">
        <f>[1]FINAL!B549</f>
        <v>0</v>
      </c>
      <c r="K549">
        <f>[1]FINAL!A549</f>
        <v>0</v>
      </c>
    </row>
    <row r="550" spans="10:11" x14ac:dyDescent="0.3">
      <c r="J550" s="10">
        <f>[1]FINAL!B550</f>
        <v>0</v>
      </c>
      <c r="K550">
        <f>[1]FINAL!A550</f>
        <v>0</v>
      </c>
    </row>
    <row r="551" spans="10:11" x14ac:dyDescent="0.3">
      <c r="J551" s="10">
        <f>[1]FINAL!B551</f>
        <v>0</v>
      </c>
      <c r="K551">
        <f>[1]FINAL!A551</f>
        <v>0</v>
      </c>
    </row>
    <row r="552" spans="10:11" x14ac:dyDescent="0.3">
      <c r="J552" s="10">
        <f>[1]FINAL!B552</f>
        <v>0</v>
      </c>
      <c r="K552" t="str">
        <f>[1]FINAL!A552</f>
        <v>0 0</v>
      </c>
    </row>
    <row r="553" spans="10:11" x14ac:dyDescent="0.3">
      <c r="J553" s="10">
        <f>[1]FINAL!B553</f>
        <v>0</v>
      </c>
      <c r="K553" t="str">
        <f>[1]FINAL!A553</f>
        <v>0 0</v>
      </c>
    </row>
    <row r="554" spans="10:11" x14ac:dyDescent="0.3">
      <c r="J554" s="10">
        <f>[1]FINAL!B554</f>
        <v>0</v>
      </c>
      <c r="K554" t="str">
        <f>[1]FINAL!A554</f>
        <v>0 0</v>
      </c>
    </row>
    <row r="555" spans="10:11" x14ac:dyDescent="0.3">
      <c r="J555" s="10">
        <f>[1]FINAL!B555</f>
        <v>0</v>
      </c>
      <c r="K555" t="str">
        <f>[1]FINAL!A555</f>
        <v>0 0</v>
      </c>
    </row>
    <row r="556" spans="10:11" x14ac:dyDescent="0.3">
      <c r="J556" s="10">
        <f>[1]FINAL!B556</f>
        <v>0</v>
      </c>
      <c r="K556" t="str">
        <f>[1]FINAL!A556</f>
        <v>0 0</v>
      </c>
    </row>
    <row r="557" spans="10:11" x14ac:dyDescent="0.3">
      <c r="J557" s="10">
        <f>[1]FINAL!B557</f>
        <v>0</v>
      </c>
      <c r="K557" t="str">
        <f>[1]FINAL!A557</f>
        <v>0 0</v>
      </c>
    </row>
    <row r="558" spans="10:11" x14ac:dyDescent="0.3">
      <c r="J558" s="10">
        <f>[1]FINAL!B558</f>
        <v>0</v>
      </c>
      <c r="K558" t="str">
        <f>[1]FINAL!A558</f>
        <v>0 0</v>
      </c>
    </row>
    <row r="559" spans="10:11" x14ac:dyDescent="0.3">
      <c r="J559" s="10">
        <f>[1]FINAL!B559</f>
        <v>0</v>
      </c>
      <c r="K559" t="str">
        <f>[1]FINAL!A559</f>
        <v>0 0</v>
      </c>
    </row>
    <row r="560" spans="10:11" x14ac:dyDescent="0.3">
      <c r="J560" s="10">
        <f>[1]FINAL!B560</f>
        <v>0</v>
      </c>
      <c r="K560" t="str">
        <f>[1]FINAL!A560</f>
        <v>0 0</v>
      </c>
    </row>
    <row r="561" spans="10:11" x14ac:dyDescent="0.3">
      <c r="J561" s="10">
        <f>[1]FINAL!B561</f>
        <v>0</v>
      </c>
      <c r="K561" t="str">
        <f>[1]FINAL!A561</f>
        <v>0 0</v>
      </c>
    </row>
    <row r="562" spans="10:11" x14ac:dyDescent="0.3">
      <c r="J562" s="10">
        <f>[1]FINAL!B562</f>
        <v>0</v>
      </c>
      <c r="K562" t="str">
        <f>[1]FINAL!A562</f>
        <v>0 0</v>
      </c>
    </row>
    <row r="563" spans="10:11" x14ac:dyDescent="0.3">
      <c r="J563" s="10">
        <f>[1]FINAL!B563</f>
        <v>0</v>
      </c>
      <c r="K563" t="str">
        <f>[1]FINAL!A563</f>
        <v>0 0</v>
      </c>
    </row>
    <row r="564" spans="10:11" x14ac:dyDescent="0.3">
      <c r="J564" s="10">
        <f>[1]FINAL!B564</f>
        <v>0</v>
      </c>
      <c r="K564" t="str">
        <f>[1]FINAL!A564</f>
        <v>0 0</v>
      </c>
    </row>
    <row r="565" spans="10:11" x14ac:dyDescent="0.3">
      <c r="J565" s="10">
        <f>[1]FINAL!B565</f>
        <v>0</v>
      </c>
      <c r="K565" t="str">
        <f>[1]FINAL!A565</f>
        <v>0 0</v>
      </c>
    </row>
    <row r="566" spans="10:11" x14ac:dyDescent="0.3">
      <c r="J566" s="10">
        <f>[1]FINAL!B566</f>
        <v>0</v>
      </c>
      <c r="K566" t="str">
        <f>[1]FINAL!A566</f>
        <v>0 0</v>
      </c>
    </row>
    <row r="567" spans="10:11" x14ac:dyDescent="0.3">
      <c r="J567" s="10">
        <f>[1]FINAL!B567</f>
        <v>0</v>
      </c>
      <c r="K567" t="str">
        <f>[1]FINAL!A567</f>
        <v>0 0</v>
      </c>
    </row>
    <row r="568" spans="10:11" x14ac:dyDescent="0.3">
      <c r="J568" s="10">
        <f>[1]FINAL!B568</f>
        <v>0</v>
      </c>
      <c r="K568" t="str">
        <f>[1]FINAL!A568</f>
        <v>0 0</v>
      </c>
    </row>
    <row r="569" spans="10:11" x14ac:dyDescent="0.3">
      <c r="J569" s="10">
        <f>[1]FINAL!B569</f>
        <v>0</v>
      </c>
      <c r="K569" t="str">
        <f>[1]FINAL!A569</f>
        <v>0 0</v>
      </c>
    </row>
    <row r="570" spans="10:11" x14ac:dyDescent="0.3">
      <c r="J570" s="10">
        <f>[1]FINAL!B570</f>
        <v>0</v>
      </c>
      <c r="K570" t="str">
        <f>[1]FINAL!A570</f>
        <v>0 0</v>
      </c>
    </row>
    <row r="571" spans="10:11" x14ac:dyDescent="0.3">
      <c r="J571" s="10">
        <f>[1]FINAL!B571</f>
        <v>0</v>
      </c>
      <c r="K571" t="str">
        <f>[1]FINAL!A571</f>
        <v>0 0</v>
      </c>
    </row>
    <row r="572" spans="10:11" x14ac:dyDescent="0.3">
      <c r="J572" s="10">
        <f>[1]FINAL!B572</f>
        <v>0</v>
      </c>
      <c r="K572" t="str">
        <f>[1]FINAL!A572</f>
        <v>0 0</v>
      </c>
    </row>
    <row r="573" spans="10:11" x14ac:dyDescent="0.3">
      <c r="J573" s="10">
        <f>[1]FINAL!B573</f>
        <v>0</v>
      </c>
      <c r="K573" t="str">
        <f>[1]FINAL!A573</f>
        <v>0 0</v>
      </c>
    </row>
    <row r="574" spans="10:11" x14ac:dyDescent="0.3">
      <c r="J574" s="10">
        <f>[1]FINAL!B574</f>
        <v>0</v>
      </c>
      <c r="K574" t="str">
        <f>[1]FINAL!A574</f>
        <v>0 0</v>
      </c>
    </row>
    <row r="575" spans="10:11" x14ac:dyDescent="0.3">
      <c r="J575" s="10">
        <f>[1]FINAL!B575</f>
        <v>0</v>
      </c>
      <c r="K575" t="str">
        <f>[1]FINAL!A575</f>
        <v>0 0</v>
      </c>
    </row>
    <row r="576" spans="10:11" x14ac:dyDescent="0.3">
      <c r="J576" s="10">
        <f>[1]FINAL!B576</f>
        <v>0</v>
      </c>
      <c r="K576" t="str">
        <f>[1]FINAL!A576</f>
        <v>0 0</v>
      </c>
    </row>
    <row r="577" spans="10:11" x14ac:dyDescent="0.3">
      <c r="J577" s="10">
        <f>[1]FINAL!B577</f>
        <v>0</v>
      </c>
      <c r="K577" t="str">
        <f>[1]FINAL!A577</f>
        <v>0 0</v>
      </c>
    </row>
    <row r="578" spans="10:11" x14ac:dyDescent="0.3">
      <c r="J578" s="10">
        <f>[1]FINAL!B578</f>
        <v>0</v>
      </c>
      <c r="K578" t="str">
        <f>[1]FINAL!A578</f>
        <v>0 0</v>
      </c>
    </row>
    <row r="579" spans="10:11" x14ac:dyDescent="0.3">
      <c r="J579" s="10">
        <f>[1]FINAL!B579</f>
        <v>0</v>
      </c>
      <c r="K579" t="str">
        <f>[1]FINAL!A579</f>
        <v>0 0</v>
      </c>
    </row>
    <row r="580" spans="10:11" x14ac:dyDescent="0.3">
      <c r="J580" s="10">
        <f>[1]FINAL!B580</f>
        <v>0</v>
      </c>
      <c r="K580" t="str">
        <f>[1]FINAL!A580</f>
        <v>0 0</v>
      </c>
    </row>
    <row r="581" spans="10:11" x14ac:dyDescent="0.3">
      <c r="J581" s="10">
        <f>[1]FINAL!B581</f>
        <v>0</v>
      </c>
      <c r="K581" t="str">
        <f>[1]FINAL!A581</f>
        <v>0 0</v>
      </c>
    </row>
    <row r="582" spans="10:11" x14ac:dyDescent="0.3">
      <c r="J582" s="10">
        <f>[1]FINAL!B582</f>
        <v>0</v>
      </c>
      <c r="K582" t="str">
        <f>[1]FINAL!A582</f>
        <v>0 0</v>
      </c>
    </row>
    <row r="583" spans="10:11" x14ac:dyDescent="0.3">
      <c r="J583" s="10">
        <f>[1]FINAL!B583</f>
        <v>0</v>
      </c>
      <c r="K583" t="str">
        <f>[1]FINAL!A583</f>
        <v>0 0</v>
      </c>
    </row>
    <row r="584" spans="10:11" x14ac:dyDescent="0.3">
      <c r="J584" s="10">
        <f>[1]FINAL!B584</f>
        <v>0</v>
      </c>
      <c r="K584" t="str">
        <f>[1]FINAL!A584</f>
        <v>0 0</v>
      </c>
    </row>
    <row r="585" spans="10:11" x14ac:dyDescent="0.3">
      <c r="J585" s="10">
        <f>[1]FINAL!B585</f>
        <v>0</v>
      </c>
      <c r="K585" t="str">
        <f>[1]FINAL!A585</f>
        <v>0 0</v>
      </c>
    </row>
    <row r="586" spans="10:11" x14ac:dyDescent="0.3">
      <c r="J586" s="10">
        <f>[1]FINAL!B586</f>
        <v>0</v>
      </c>
      <c r="K586" t="str">
        <f>[1]FINAL!A586</f>
        <v>0 0</v>
      </c>
    </row>
    <row r="587" spans="10:11" x14ac:dyDescent="0.3">
      <c r="J587" s="10">
        <f>[1]FINAL!B587</f>
        <v>0</v>
      </c>
      <c r="K587" t="str">
        <f>[1]FINAL!A587</f>
        <v>0 0</v>
      </c>
    </row>
    <row r="588" spans="10:11" x14ac:dyDescent="0.3">
      <c r="J588" s="10">
        <f>[1]FINAL!B588</f>
        <v>0</v>
      </c>
      <c r="K588" t="str">
        <f>[1]FINAL!A588</f>
        <v>0 0</v>
      </c>
    </row>
    <row r="589" spans="10:11" x14ac:dyDescent="0.3">
      <c r="J589" s="10">
        <f>[1]FINAL!B589</f>
        <v>0</v>
      </c>
      <c r="K589" t="str">
        <f>[1]FINAL!A589</f>
        <v>0 0</v>
      </c>
    </row>
    <row r="590" spans="10:11" x14ac:dyDescent="0.3">
      <c r="J590" s="10">
        <f>[1]FINAL!B590</f>
        <v>0</v>
      </c>
      <c r="K590" t="str">
        <f>[1]FINAL!A590</f>
        <v>0 0</v>
      </c>
    </row>
    <row r="591" spans="10:11" x14ac:dyDescent="0.3">
      <c r="J591" s="10">
        <f>[1]FINAL!B591</f>
        <v>0</v>
      </c>
      <c r="K591" t="str">
        <f>[1]FINAL!A591</f>
        <v>0 0</v>
      </c>
    </row>
    <row r="592" spans="10:11" x14ac:dyDescent="0.3">
      <c r="J592" s="10">
        <f>[1]FINAL!B592</f>
        <v>0</v>
      </c>
      <c r="K592" t="str">
        <f>[1]FINAL!A592</f>
        <v>0 0</v>
      </c>
    </row>
    <row r="593" spans="10:11" x14ac:dyDescent="0.3">
      <c r="J593" s="10">
        <f>[1]FINAL!B593</f>
        <v>0</v>
      </c>
      <c r="K593" t="str">
        <f>[1]FINAL!A593</f>
        <v>0 0</v>
      </c>
    </row>
    <row r="594" spans="10:11" x14ac:dyDescent="0.3">
      <c r="J594" s="10">
        <f>[1]FINAL!B594</f>
        <v>0</v>
      </c>
      <c r="K594" t="str">
        <f>[1]FINAL!A594</f>
        <v>0 0</v>
      </c>
    </row>
    <row r="595" spans="10:11" x14ac:dyDescent="0.3">
      <c r="J595" s="10">
        <f>[1]FINAL!B595</f>
        <v>0</v>
      </c>
      <c r="K595">
        <f>[1]FINAL!A595</f>
        <v>0</v>
      </c>
    </row>
    <row r="596" spans="10:11" x14ac:dyDescent="0.3">
      <c r="J596" s="10">
        <f>[1]FINAL!B596</f>
        <v>0</v>
      </c>
      <c r="K596">
        <f>[1]FINAL!A596</f>
        <v>0</v>
      </c>
    </row>
    <row r="597" spans="10:11" x14ac:dyDescent="0.3">
      <c r="J597" s="10">
        <f>[1]FINAL!B597</f>
        <v>0</v>
      </c>
      <c r="K597">
        <f>[1]FINAL!A597</f>
        <v>0</v>
      </c>
    </row>
    <row r="598" spans="10:11" x14ac:dyDescent="0.3">
      <c r="J598" s="10">
        <f>[1]FINAL!B598</f>
        <v>0</v>
      </c>
      <c r="K598">
        <f>[1]FINAL!A598</f>
        <v>0</v>
      </c>
    </row>
    <row r="599" spans="10:11" x14ac:dyDescent="0.3">
      <c r="J599" s="10">
        <f>[1]FINAL!B599</f>
        <v>0</v>
      </c>
      <c r="K599">
        <f>[1]FINAL!A599</f>
        <v>0</v>
      </c>
    </row>
    <row r="600" spans="10:11" x14ac:dyDescent="0.3">
      <c r="J600" s="10">
        <f>[1]FINAL!B600</f>
        <v>0</v>
      </c>
      <c r="K600">
        <f>[1]FINAL!A600</f>
        <v>0</v>
      </c>
    </row>
    <row r="601" spans="10:11" x14ac:dyDescent="0.3">
      <c r="J601" s="10">
        <f>[1]FINAL!B601</f>
        <v>0</v>
      </c>
      <c r="K601">
        <f>[1]FINAL!A601</f>
        <v>0</v>
      </c>
    </row>
    <row r="602" spans="10:11" x14ac:dyDescent="0.3">
      <c r="J602" s="10">
        <f>[1]FINAL!B602</f>
        <v>0</v>
      </c>
      <c r="K602">
        <f>[1]FINAL!A602</f>
        <v>0</v>
      </c>
    </row>
    <row r="603" spans="10:11" x14ac:dyDescent="0.3">
      <c r="J603" s="10">
        <f>[1]FINAL!B603</f>
        <v>0</v>
      </c>
      <c r="K603">
        <f>[1]FINAL!A603</f>
        <v>0</v>
      </c>
    </row>
    <row r="604" spans="10:11" x14ac:dyDescent="0.3">
      <c r="J604" s="10">
        <f>[1]FINAL!B604</f>
        <v>0</v>
      </c>
      <c r="K604">
        <f>[1]FINAL!A604</f>
        <v>0</v>
      </c>
    </row>
    <row r="605" spans="10:11" x14ac:dyDescent="0.3">
      <c r="J605" s="10">
        <f>[1]FINAL!B605</f>
        <v>0</v>
      </c>
      <c r="K605">
        <f>[1]FINAL!A605</f>
        <v>0</v>
      </c>
    </row>
    <row r="606" spans="10:11" x14ac:dyDescent="0.3">
      <c r="J606" s="10">
        <f>[1]FINAL!B606</f>
        <v>0</v>
      </c>
      <c r="K606">
        <f>[1]FINAL!A606</f>
        <v>0</v>
      </c>
    </row>
    <row r="607" spans="10:11" x14ac:dyDescent="0.3">
      <c r="J607" s="10">
        <f>[1]FINAL!B607</f>
        <v>0</v>
      </c>
      <c r="K607">
        <f>[1]FINAL!A607</f>
        <v>0</v>
      </c>
    </row>
    <row r="608" spans="10:11" x14ac:dyDescent="0.3">
      <c r="J608" s="10">
        <f>[1]FINAL!B608</f>
        <v>0</v>
      </c>
      <c r="K608">
        <f>[1]FINAL!A608</f>
        <v>0</v>
      </c>
    </row>
    <row r="609" spans="10:11" x14ac:dyDescent="0.3">
      <c r="J609" s="10">
        <f>[1]FINAL!B609</f>
        <v>0</v>
      </c>
      <c r="K609">
        <f>[1]FINAL!A609</f>
        <v>0</v>
      </c>
    </row>
    <row r="610" spans="10:11" x14ac:dyDescent="0.3">
      <c r="J610" s="10">
        <f>[1]FINAL!B610</f>
        <v>0</v>
      </c>
      <c r="K610">
        <f>[1]FINAL!A610</f>
        <v>0</v>
      </c>
    </row>
    <row r="611" spans="10:11" x14ac:dyDescent="0.3">
      <c r="J611" s="10">
        <f>[1]FINAL!B611</f>
        <v>0</v>
      </c>
      <c r="K611">
        <f>[1]FINAL!A611</f>
        <v>0</v>
      </c>
    </row>
    <row r="612" spans="10:11" x14ac:dyDescent="0.3">
      <c r="J612" s="10">
        <f>[1]FINAL!B612</f>
        <v>0</v>
      </c>
      <c r="K612">
        <f>[1]FINAL!A612</f>
        <v>0</v>
      </c>
    </row>
    <row r="613" spans="10:11" x14ac:dyDescent="0.3">
      <c r="J613" s="10">
        <f>[1]FINAL!B613</f>
        <v>0</v>
      </c>
      <c r="K613">
        <f>[1]FINAL!A613</f>
        <v>0</v>
      </c>
    </row>
    <row r="614" spans="10:11" x14ac:dyDescent="0.3">
      <c r="J614" s="10">
        <f>[1]FINAL!B614</f>
        <v>0</v>
      </c>
      <c r="K614">
        <f>[1]FINAL!A614</f>
        <v>0</v>
      </c>
    </row>
    <row r="615" spans="10:11" x14ac:dyDescent="0.3">
      <c r="J615" s="10">
        <f>[1]FINAL!B615</f>
        <v>0</v>
      </c>
      <c r="K615">
        <f>[1]FINAL!A615</f>
        <v>0</v>
      </c>
    </row>
    <row r="616" spans="10:11" x14ac:dyDescent="0.3">
      <c r="J616" s="10">
        <f>[1]FINAL!B616</f>
        <v>0</v>
      </c>
      <c r="K616">
        <f>[1]FINAL!A616</f>
        <v>0</v>
      </c>
    </row>
    <row r="617" spans="10:11" x14ac:dyDescent="0.3">
      <c r="J617" s="10">
        <f>[1]FINAL!B617</f>
        <v>0</v>
      </c>
      <c r="K617">
        <f>[1]FINAL!A617</f>
        <v>0</v>
      </c>
    </row>
    <row r="618" spans="10:11" x14ac:dyDescent="0.3">
      <c r="J618" s="10">
        <f>[1]FINAL!B618</f>
        <v>0</v>
      </c>
      <c r="K618">
        <f>[1]FINAL!A618</f>
        <v>0</v>
      </c>
    </row>
    <row r="619" spans="10:11" x14ac:dyDescent="0.3">
      <c r="J619" s="10">
        <f>[1]FINAL!B619</f>
        <v>0</v>
      </c>
      <c r="K619">
        <f>[1]FINAL!A619</f>
        <v>0</v>
      </c>
    </row>
    <row r="620" spans="10:11" x14ac:dyDescent="0.3">
      <c r="J620" s="10">
        <f>[1]FINAL!B620</f>
        <v>0</v>
      </c>
      <c r="K620">
        <f>[1]FINAL!A620</f>
        <v>0</v>
      </c>
    </row>
    <row r="621" spans="10:11" x14ac:dyDescent="0.3">
      <c r="J621" s="10">
        <f>[1]FINAL!B621</f>
        <v>0</v>
      </c>
      <c r="K621">
        <f>[1]FINAL!A621</f>
        <v>0</v>
      </c>
    </row>
    <row r="622" spans="10:11" x14ac:dyDescent="0.3">
      <c r="J622" s="10">
        <f>[1]FINAL!B622</f>
        <v>0</v>
      </c>
      <c r="K622">
        <f>[1]FINAL!A622</f>
        <v>0</v>
      </c>
    </row>
    <row r="623" spans="10:11" x14ac:dyDescent="0.3">
      <c r="J623" s="10">
        <f>[1]FINAL!B623</f>
        <v>0</v>
      </c>
      <c r="K623">
        <f>[1]FINAL!A623</f>
        <v>0</v>
      </c>
    </row>
    <row r="624" spans="10:11" x14ac:dyDescent="0.3">
      <c r="J624" s="10">
        <f>[1]FINAL!B624</f>
        <v>0</v>
      </c>
      <c r="K624">
        <f>[1]FINAL!A624</f>
        <v>0</v>
      </c>
    </row>
    <row r="625" spans="10:11" x14ac:dyDescent="0.3">
      <c r="J625" s="10">
        <f>[1]FINAL!B625</f>
        <v>0</v>
      </c>
      <c r="K625">
        <f>[1]FINAL!A625</f>
        <v>0</v>
      </c>
    </row>
    <row r="626" spans="10:11" x14ac:dyDescent="0.3">
      <c r="J626" s="10">
        <f>[1]FINAL!B626</f>
        <v>0</v>
      </c>
      <c r="K626">
        <f>[1]FINAL!A626</f>
        <v>0</v>
      </c>
    </row>
    <row r="627" spans="10:11" x14ac:dyDescent="0.3">
      <c r="J627" s="10">
        <f>[1]FINAL!B627</f>
        <v>0</v>
      </c>
      <c r="K627">
        <f>[1]FINAL!A627</f>
        <v>0</v>
      </c>
    </row>
    <row r="628" spans="10:11" x14ac:dyDescent="0.3">
      <c r="J628" s="10">
        <f>[1]FINAL!B628</f>
        <v>0</v>
      </c>
      <c r="K628">
        <f>[1]FINAL!A628</f>
        <v>0</v>
      </c>
    </row>
    <row r="629" spans="10:11" x14ac:dyDescent="0.3">
      <c r="J629" s="10">
        <f>[1]FINAL!B629</f>
        <v>0</v>
      </c>
      <c r="K629">
        <f>[1]FINAL!A629</f>
        <v>0</v>
      </c>
    </row>
    <row r="630" spans="10:11" x14ac:dyDescent="0.3">
      <c r="J630" s="10">
        <f>[1]FINAL!B630</f>
        <v>0</v>
      </c>
      <c r="K630">
        <f>[1]FINAL!A630</f>
        <v>0</v>
      </c>
    </row>
    <row r="631" spans="10:11" x14ac:dyDescent="0.3">
      <c r="J631" s="10">
        <f>[1]FINAL!B631</f>
        <v>0</v>
      </c>
      <c r="K631">
        <f>[1]FINAL!A631</f>
        <v>0</v>
      </c>
    </row>
    <row r="632" spans="10:11" x14ac:dyDescent="0.3">
      <c r="J632" s="10">
        <f>[1]FINAL!B632</f>
        <v>0</v>
      </c>
      <c r="K632">
        <f>[1]FINAL!A632</f>
        <v>0</v>
      </c>
    </row>
    <row r="633" spans="10:11" x14ac:dyDescent="0.3">
      <c r="J633" s="10">
        <f>[1]FINAL!B633</f>
        <v>0</v>
      </c>
      <c r="K633">
        <f>[1]FINAL!A633</f>
        <v>0</v>
      </c>
    </row>
    <row r="634" spans="10:11" x14ac:dyDescent="0.3">
      <c r="J634" s="10">
        <f>[1]FINAL!B634</f>
        <v>0</v>
      </c>
      <c r="K634">
        <f>[1]FINAL!A634</f>
        <v>0</v>
      </c>
    </row>
    <row r="635" spans="10:11" x14ac:dyDescent="0.3">
      <c r="J635" s="10">
        <f>[1]FINAL!B635</f>
        <v>0</v>
      </c>
      <c r="K635">
        <f>[1]FINAL!A635</f>
        <v>0</v>
      </c>
    </row>
    <row r="636" spans="10:11" x14ac:dyDescent="0.3">
      <c r="J636" s="10">
        <f>[1]FINAL!B636</f>
        <v>0</v>
      </c>
      <c r="K636">
        <f>[1]FINAL!A636</f>
        <v>0</v>
      </c>
    </row>
    <row r="637" spans="10:11" x14ac:dyDescent="0.3">
      <c r="J637" s="10">
        <f>[1]FINAL!B637</f>
        <v>0</v>
      </c>
      <c r="K637">
        <f>[1]FINAL!A637</f>
        <v>0</v>
      </c>
    </row>
    <row r="638" spans="10:11" x14ac:dyDescent="0.3">
      <c r="J638" s="10">
        <f>[1]FINAL!B638</f>
        <v>0</v>
      </c>
      <c r="K638">
        <f>[1]FINAL!A638</f>
        <v>0</v>
      </c>
    </row>
    <row r="639" spans="10:11" x14ac:dyDescent="0.3">
      <c r="J639" s="10">
        <f>[1]FINAL!B639</f>
        <v>0</v>
      </c>
      <c r="K639">
        <f>[1]FINAL!A639</f>
        <v>0</v>
      </c>
    </row>
    <row r="640" spans="10:11" x14ac:dyDescent="0.3">
      <c r="J640" s="10">
        <f>[1]FINAL!B640</f>
        <v>0</v>
      </c>
      <c r="K640">
        <f>[1]FINAL!A640</f>
        <v>0</v>
      </c>
    </row>
    <row r="641" spans="10:11" x14ac:dyDescent="0.3">
      <c r="J641" s="10">
        <f>[1]FINAL!B641</f>
        <v>0</v>
      </c>
      <c r="K641">
        <f>[1]FINAL!A641</f>
        <v>0</v>
      </c>
    </row>
    <row r="642" spans="10:11" x14ac:dyDescent="0.3">
      <c r="J642" s="10">
        <f>[1]FINAL!B642</f>
        <v>0</v>
      </c>
      <c r="K642">
        <f>[1]FINAL!A642</f>
        <v>0</v>
      </c>
    </row>
    <row r="643" spans="10:11" x14ac:dyDescent="0.3">
      <c r="J643" s="10">
        <f>[1]FINAL!B643</f>
        <v>0</v>
      </c>
      <c r="K643">
        <f>[1]FINAL!A643</f>
        <v>0</v>
      </c>
    </row>
    <row r="644" spans="10:11" x14ac:dyDescent="0.3">
      <c r="J644" s="10">
        <f>[1]FINAL!B644</f>
        <v>0</v>
      </c>
      <c r="K644">
        <f>[1]FINAL!A644</f>
        <v>0</v>
      </c>
    </row>
    <row r="645" spans="10:11" x14ac:dyDescent="0.3">
      <c r="J645" s="10">
        <f>[1]FINAL!B645</f>
        <v>0</v>
      </c>
      <c r="K645">
        <f>[1]FINAL!A645</f>
        <v>0</v>
      </c>
    </row>
    <row r="646" spans="10:11" x14ac:dyDescent="0.3">
      <c r="J646" s="10">
        <f>[1]FINAL!B646</f>
        <v>0</v>
      </c>
      <c r="K646">
        <f>[1]FINAL!A646</f>
        <v>0</v>
      </c>
    </row>
    <row r="647" spans="10:11" x14ac:dyDescent="0.3">
      <c r="J647" s="10">
        <f>[1]FINAL!B647</f>
        <v>0</v>
      </c>
      <c r="K647">
        <f>[1]FINAL!A647</f>
        <v>0</v>
      </c>
    </row>
    <row r="648" spans="10:11" x14ac:dyDescent="0.3">
      <c r="J648" s="10">
        <f>[1]FINAL!B648</f>
        <v>0</v>
      </c>
      <c r="K648">
        <f>[1]FINAL!A648</f>
        <v>0</v>
      </c>
    </row>
    <row r="649" spans="10:11" x14ac:dyDescent="0.3">
      <c r="J649" s="10">
        <f>[1]FINAL!B649</f>
        <v>0</v>
      </c>
      <c r="K649">
        <f>[1]FINAL!A649</f>
        <v>0</v>
      </c>
    </row>
    <row r="650" spans="10:11" x14ac:dyDescent="0.3">
      <c r="J650" s="10">
        <f>[1]FINAL!B650</f>
        <v>0</v>
      </c>
      <c r="K650">
        <f>[1]FINAL!A650</f>
        <v>0</v>
      </c>
    </row>
    <row r="651" spans="10:11" x14ac:dyDescent="0.3">
      <c r="J651" s="10">
        <f>[1]FINAL!B651</f>
        <v>0</v>
      </c>
      <c r="K651">
        <f>[1]FINAL!A651</f>
        <v>0</v>
      </c>
    </row>
    <row r="652" spans="10:11" x14ac:dyDescent="0.3">
      <c r="J652" s="10">
        <f>[1]FINAL!B652</f>
        <v>0</v>
      </c>
      <c r="K652">
        <f>[1]FINAL!A652</f>
        <v>0</v>
      </c>
    </row>
    <row r="653" spans="10:11" x14ac:dyDescent="0.3">
      <c r="J653" s="10">
        <f>[1]FINAL!B653</f>
        <v>0</v>
      </c>
      <c r="K653">
        <f>[1]FINAL!A653</f>
        <v>0</v>
      </c>
    </row>
    <row r="654" spans="10:11" x14ac:dyDescent="0.3">
      <c r="J654" s="10">
        <f>[1]FINAL!B654</f>
        <v>0</v>
      </c>
      <c r="K654">
        <f>[1]FINAL!A654</f>
        <v>0</v>
      </c>
    </row>
    <row r="655" spans="10:11" x14ac:dyDescent="0.3">
      <c r="J655" s="10">
        <f>[1]FINAL!B655</f>
        <v>0</v>
      </c>
      <c r="K655">
        <f>[1]FINAL!A655</f>
        <v>0</v>
      </c>
    </row>
    <row r="656" spans="10:11" x14ac:dyDescent="0.3">
      <c r="J656" s="10">
        <f>[1]FINAL!B656</f>
        <v>0</v>
      </c>
      <c r="K656">
        <f>[1]FINAL!A656</f>
        <v>0</v>
      </c>
    </row>
    <row r="657" spans="10:11" x14ac:dyDescent="0.3">
      <c r="J657" s="10">
        <f>[1]FINAL!B657</f>
        <v>0</v>
      </c>
      <c r="K657">
        <f>[1]FINAL!A657</f>
        <v>0</v>
      </c>
    </row>
    <row r="658" spans="10:11" x14ac:dyDescent="0.3">
      <c r="J658" s="10">
        <f>[1]FINAL!B658</f>
        <v>0</v>
      </c>
      <c r="K658">
        <f>[1]FINAL!A658</f>
        <v>0</v>
      </c>
    </row>
    <row r="659" spans="10:11" x14ac:dyDescent="0.3">
      <c r="J659" s="10">
        <f>[1]FINAL!B659</f>
        <v>0</v>
      </c>
      <c r="K659">
        <f>[1]FINAL!A659</f>
        <v>0</v>
      </c>
    </row>
    <row r="660" spans="10:11" x14ac:dyDescent="0.3">
      <c r="J660" s="10">
        <f>[1]FINAL!B660</f>
        <v>0</v>
      </c>
      <c r="K660">
        <f>[1]FINAL!A660</f>
        <v>0</v>
      </c>
    </row>
    <row r="661" spans="10:11" x14ac:dyDescent="0.3">
      <c r="J661" s="10">
        <f>[1]FINAL!B661</f>
        <v>0</v>
      </c>
      <c r="K661">
        <f>[1]FINAL!A661</f>
        <v>0</v>
      </c>
    </row>
    <row r="662" spans="10:11" x14ac:dyDescent="0.3">
      <c r="J662" s="10">
        <f>[1]FINAL!B662</f>
        <v>0</v>
      </c>
      <c r="K662">
        <f>[1]FINAL!A662</f>
        <v>0</v>
      </c>
    </row>
    <row r="663" spans="10:11" x14ac:dyDescent="0.3">
      <c r="J663" s="10">
        <f>[1]FINAL!B663</f>
        <v>0</v>
      </c>
      <c r="K663">
        <f>[1]FINAL!A663</f>
        <v>0</v>
      </c>
    </row>
    <row r="664" spans="10:11" x14ac:dyDescent="0.3">
      <c r="J664" s="10">
        <f>[1]FINAL!B664</f>
        <v>0</v>
      </c>
      <c r="K664">
        <f>[1]FINAL!A664</f>
        <v>0</v>
      </c>
    </row>
    <row r="665" spans="10:11" x14ac:dyDescent="0.3">
      <c r="J665" s="10">
        <f>[1]FINAL!B665</f>
        <v>0</v>
      </c>
      <c r="K665">
        <f>[1]FINAL!A665</f>
        <v>0</v>
      </c>
    </row>
    <row r="666" spans="10:11" x14ac:dyDescent="0.3">
      <c r="J666" s="10">
        <f>[1]FINAL!B666</f>
        <v>0</v>
      </c>
      <c r="K666">
        <f>[1]FINAL!A666</f>
        <v>0</v>
      </c>
    </row>
    <row r="667" spans="10:11" x14ac:dyDescent="0.3">
      <c r="J667" s="10">
        <f>[1]FINAL!B667</f>
        <v>0</v>
      </c>
      <c r="K667">
        <f>[1]FINAL!A667</f>
        <v>0</v>
      </c>
    </row>
    <row r="668" spans="10:11" x14ac:dyDescent="0.3">
      <c r="J668" s="10">
        <f>[1]FINAL!B668</f>
        <v>0</v>
      </c>
      <c r="K668">
        <f>[1]FINAL!A668</f>
        <v>0</v>
      </c>
    </row>
    <row r="669" spans="10:11" x14ac:dyDescent="0.3">
      <c r="J669" s="10">
        <f>[1]FINAL!B669</f>
        <v>0</v>
      </c>
      <c r="K669">
        <f>[1]FINAL!A669</f>
        <v>0</v>
      </c>
    </row>
    <row r="670" spans="10:11" x14ac:dyDescent="0.3">
      <c r="J670" s="10">
        <f>[1]FINAL!B670</f>
        <v>0</v>
      </c>
      <c r="K670">
        <f>[1]FINAL!A670</f>
        <v>0</v>
      </c>
    </row>
    <row r="671" spans="10:11" x14ac:dyDescent="0.3">
      <c r="J671" s="10">
        <f>[1]FINAL!B671</f>
        <v>0</v>
      </c>
      <c r="K671">
        <f>[1]FINAL!A671</f>
        <v>0</v>
      </c>
    </row>
    <row r="672" spans="10:11" x14ac:dyDescent="0.3">
      <c r="J672" s="10">
        <f>[1]FINAL!B672</f>
        <v>0</v>
      </c>
      <c r="K672">
        <f>[1]FINAL!A672</f>
        <v>0</v>
      </c>
    </row>
    <row r="673" spans="10:11" x14ac:dyDescent="0.3">
      <c r="J673" s="10">
        <f>[1]FINAL!B673</f>
        <v>0</v>
      </c>
      <c r="K673">
        <f>[1]FINAL!A673</f>
        <v>0</v>
      </c>
    </row>
    <row r="674" spans="10:11" x14ac:dyDescent="0.3">
      <c r="J674" s="10">
        <f>[1]FINAL!B674</f>
        <v>0</v>
      </c>
      <c r="K674">
        <f>[1]FINAL!A674</f>
        <v>0</v>
      </c>
    </row>
    <row r="675" spans="10:11" x14ac:dyDescent="0.3">
      <c r="J675" s="10">
        <f>[1]FINAL!B675</f>
        <v>0</v>
      </c>
      <c r="K675">
        <f>[1]FINAL!A675</f>
        <v>0</v>
      </c>
    </row>
    <row r="676" spans="10:11" x14ac:dyDescent="0.3">
      <c r="J676" s="10">
        <f>[1]FINAL!B676</f>
        <v>0</v>
      </c>
      <c r="K676">
        <f>[1]FINAL!A676</f>
        <v>0</v>
      </c>
    </row>
    <row r="677" spans="10:11" x14ac:dyDescent="0.3">
      <c r="J677" s="10">
        <f>[1]FINAL!B677</f>
        <v>0</v>
      </c>
      <c r="K677">
        <f>[1]FINAL!A677</f>
        <v>0</v>
      </c>
    </row>
    <row r="678" spans="10:11" x14ac:dyDescent="0.3">
      <c r="J678" s="10">
        <f>[1]FINAL!B678</f>
        <v>0</v>
      </c>
      <c r="K678">
        <f>[1]FINAL!A678</f>
        <v>0</v>
      </c>
    </row>
    <row r="679" spans="10:11" x14ac:dyDescent="0.3">
      <c r="J679" s="10">
        <f>[1]FINAL!B679</f>
        <v>0</v>
      </c>
      <c r="K679">
        <f>[1]FINAL!A679</f>
        <v>0</v>
      </c>
    </row>
    <row r="680" spans="10:11" x14ac:dyDescent="0.3">
      <c r="J680" s="10">
        <f>[1]FINAL!B680</f>
        <v>0</v>
      </c>
      <c r="K680">
        <f>[1]FINAL!A680</f>
        <v>0</v>
      </c>
    </row>
    <row r="681" spans="10:11" x14ac:dyDescent="0.3">
      <c r="J681" s="10">
        <f>[1]FINAL!B681</f>
        <v>0</v>
      </c>
      <c r="K681">
        <f>[1]FINAL!A681</f>
        <v>0</v>
      </c>
    </row>
    <row r="682" spans="10:11" x14ac:dyDescent="0.3">
      <c r="J682" s="10">
        <f>[1]FINAL!B682</f>
        <v>0</v>
      </c>
      <c r="K682">
        <f>[1]FINAL!A682</f>
        <v>0</v>
      </c>
    </row>
    <row r="683" spans="10:11" x14ac:dyDescent="0.3">
      <c r="J683" s="10">
        <f>[1]FINAL!B683</f>
        <v>0</v>
      </c>
      <c r="K683">
        <f>[1]FINAL!A683</f>
        <v>0</v>
      </c>
    </row>
    <row r="684" spans="10:11" x14ac:dyDescent="0.3">
      <c r="J684" s="10">
        <f>[1]FINAL!B684</f>
        <v>0</v>
      </c>
      <c r="K684">
        <f>[1]FINAL!A684</f>
        <v>0</v>
      </c>
    </row>
    <row r="685" spans="10:11" x14ac:dyDescent="0.3">
      <c r="J685" s="10">
        <f>[1]FINAL!B685</f>
        <v>0</v>
      </c>
      <c r="K685">
        <f>[1]FINAL!A685</f>
        <v>0</v>
      </c>
    </row>
    <row r="686" spans="10:11" x14ac:dyDescent="0.3">
      <c r="J686" s="10">
        <f>[1]FINAL!B686</f>
        <v>0</v>
      </c>
      <c r="K686">
        <f>[1]FINAL!A686</f>
        <v>0</v>
      </c>
    </row>
    <row r="687" spans="10:11" x14ac:dyDescent="0.3">
      <c r="J687" s="10">
        <f>[1]FINAL!B687</f>
        <v>0</v>
      </c>
      <c r="K687">
        <f>[1]FINAL!A687</f>
        <v>0</v>
      </c>
    </row>
    <row r="688" spans="10:11" x14ac:dyDescent="0.3">
      <c r="J688" s="10">
        <f>[1]FINAL!B688</f>
        <v>0</v>
      </c>
      <c r="K688">
        <f>[1]FINAL!A688</f>
        <v>0</v>
      </c>
    </row>
    <row r="689" spans="10:11" x14ac:dyDescent="0.3">
      <c r="J689" s="10">
        <f>[1]FINAL!B689</f>
        <v>0</v>
      </c>
      <c r="K689">
        <f>[1]FINAL!A689</f>
        <v>0</v>
      </c>
    </row>
    <row r="690" spans="10:11" x14ac:dyDescent="0.3">
      <c r="J690" s="10">
        <f>[1]FINAL!B690</f>
        <v>0</v>
      </c>
      <c r="K690">
        <f>[1]FINAL!A690</f>
        <v>0</v>
      </c>
    </row>
    <row r="691" spans="10:11" x14ac:dyDescent="0.3">
      <c r="J691" s="10">
        <f>[1]FINAL!B691</f>
        <v>0</v>
      </c>
      <c r="K691">
        <f>[1]FINAL!A691</f>
        <v>0</v>
      </c>
    </row>
    <row r="692" spans="10:11" x14ac:dyDescent="0.3">
      <c r="J692" s="10">
        <f>[1]FINAL!B692</f>
        <v>0</v>
      </c>
      <c r="K692">
        <f>[1]FINAL!A692</f>
        <v>0</v>
      </c>
    </row>
    <row r="693" spans="10:11" x14ac:dyDescent="0.3">
      <c r="J693" s="10">
        <f>[1]FINAL!B693</f>
        <v>0</v>
      </c>
      <c r="K693">
        <f>[1]FINAL!A693</f>
        <v>0</v>
      </c>
    </row>
    <row r="694" spans="10:11" x14ac:dyDescent="0.3">
      <c r="J694" s="10">
        <f>[1]FINAL!B694</f>
        <v>0</v>
      </c>
      <c r="K694">
        <f>[1]FINAL!A694</f>
        <v>0</v>
      </c>
    </row>
    <row r="695" spans="10:11" x14ac:dyDescent="0.3">
      <c r="J695" s="10">
        <f>[1]FINAL!B695</f>
        <v>0</v>
      </c>
      <c r="K695">
        <f>[1]FINAL!A695</f>
        <v>0</v>
      </c>
    </row>
    <row r="696" spans="10:11" x14ac:dyDescent="0.3">
      <c r="J696" s="10">
        <f>[1]FINAL!B696</f>
        <v>0</v>
      </c>
      <c r="K696">
        <f>[1]FINAL!A696</f>
        <v>0</v>
      </c>
    </row>
    <row r="697" spans="10:11" x14ac:dyDescent="0.3">
      <c r="J697" s="10">
        <f>[1]FINAL!B697</f>
        <v>0</v>
      </c>
      <c r="K697">
        <f>[1]FINAL!A697</f>
        <v>0</v>
      </c>
    </row>
    <row r="698" spans="10:11" x14ac:dyDescent="0.3">
      <c r="J698" s="10">
        <f>[1]FINAL!B698</f>
        <v>0</v>
      </c>
      <c r="K698">
        <f>[1]FINAL!A698</f>
        <v>0</v>
      </c>
    </row>
    <row r="699" spans="10:11" x14ac:dyDescent="0.3">
      <c r="J699" s="10">
        <f>[1]FINAL!B699</f>
        <v>0</v>
      </c>
      <c r="K699">
        <f>[1]FINAL!A699</f>
        <v>0</v>
      </c>
    </row>
    <row r="700" spans="10:11" x14ac:dyDescent="0.3">
      <c r="J700" s="10">
        <f>[1]FINAL!B700</f>
        <v>0</v>
      </c>
      <c r="K700">
        <f>[1]FINAL!A700</f>
        <v>0</v>
      </c>
    </row>
    <row r="701" spans="10:11" x14ac:dyDescent="0.3">
      <c r="J701" s="10">
        <f>[1]FINAL!B701</f>
        <v>0</v>
      </c>
      <c r="K701">
        <f>[1]FINAL!A701</f>
        <v>0</v>
      </c>
    </row>
    <row r="702" spans="10:11" x14ac:dyDescent="0.3">
      <c r="J702" s="10">
        <f>[1]FINAL!B702</f>
        <v>0</v>
      </c>
      <c r="K702">
        <f>[1]FINAL!A702</f>
        <v>0</v>
      </c>
    </row>
    <row r="703" spans="10:11" x14ac:dyDescent="0.3">
      <c r="J703" s="10">
        <f>[1]FINAL!B703</f>
        <v>0</v>
      </c>
      <c r="K703">
        <f>[1]FINAL!A703</f>
        <v>0</v>
      </c>
    </row>
    <row r="704" spans="10:11" x14ac:dyDescent="0.3">
      <c r="J704" s="10">
        <f>[1]FINAL!B704</f>
        <v>0</v>
      </c>
      <c r="K704">
        <f>[1]FINAL!A704</f>
        <v>0</v>
      </c>
    </row>
    <row r="705" spans="10:11" x14ac:dyDescent="0.3">
      <c r="J705" s="10">
        <f>[1]FINAL!B705</f>
        <v>0</v>
      </c>
      <c r="K705">
        <f>[1]FINAL!A705</f>
        <v>0</v>
      </c>
    </row>
    <row r="706" spans="10:11" x14ac:dyDescent="0.3">
      <c r="J706" s="10">
        <f>[1]FINAL!B706</f>
        <v>0</v>
      </c>
      <c r="K706">
        <f>[1]FINAL!A706</f>
        <v>0</v>
      </c>
    </row>
    <row r="707" spans="10:11" x14ac:dyDescent="0.3">
      <c r="J707" s="10">
        <f>[1]FINAL!B707</f>
        <v>0</v>
      </c>
      <c r="K707">
        <f>[1]FINAL!A707</f>
        <v>0</v>
      </c>
    </row>
    <row r="708" spans="10:11" x14ac:dyDescent="0.3">
      <c r="J708" s="10">
        <f>[1]FINAL!B708</f>
        <v>0</v>
      </c>
      <c r="K708">
        <f>[1]FINAL!A708</f>
        <v>0</v>
      </c>
    </row>
    <row r="709" spans="10:11" x14ac:dyDescent="0.3">
      <c r="J709" s="10">
        <f>[1]FINAL!B709</f>
        <v>0</v>
      </c>
      <c r="K709">
        <f>[1]FINAL!A709</f>
        <v>0</v>
      </c>
    </row>
    <row r="710" spans="10:11" x14ac:dyDescent="0.3">
      <c r="J710" s="10">
        <f>[1]FINAL!B710</f>
        <v>0</v>
      </c>
      <c r="K710">
        <f>[1]FINAL!A710</f>
        <v>0</v>
      </c>
    </row>
    <row r="711" spans="10:11" x14ac:dyDescent="0.3">
      <c r="J711" s="10">
        <f>[1]FINAL!B711</f>
        <v>0</v>
      </c>
      <c r="K711">
        <f>[1]FINAL!A711</f>
        <v>0</v>
      </c>
    </row>
    <row r="712" spans="10:11" x14ac:dyDescent="0.3">
      <c r="J712" s="10">
        <f>[1]FINAL!B712</f>
        <v>0</v>
      </c>
      <c r="K712">
        <f>[1]FINAL!A712</f>
        <v>0</v>
      </c>
    </row>
    <row r="713" spans="10:11" x14ac:dyDescent="0.3">
      <c r="J713" s="10">
        <f>[1]FINAL!B713</f>
        <v>0</v>
      </c>
      <c r="K713">
        <f>[1]FINAL!A713</f>
        <v>0</v>
      </c>
    </row>
    <row r="714" spans="10:11" x14ac:dyDescent="0.3">
      <c r="J714" s="10">
        <f>[1]FINAL!B714</f>
        <v>0</v>
      </c>
      <c r="K714">
        <f>[1]FINAL!A714</f>
        <v>0</v>
      </c>
    </row>
    <row r="715" spans="10:11" x14ac:dyDescent="0.3">
      <c r="J715" s="10">
        <f>[1]FINAL!B715</f>
        <v>0</v>
      </c>
      <c r="K715">
        <f>[1]FINAL!A715</f>
        <v>0</v>
      </c>
    </row>
    <row r="716" spans="10:11" x14ac:dyDescent="0.3">
      <c r="J716" s="10">
        <f>[1]FINAL!B716</f>
        <v>0</v>
      </c>
      <c r="K716">
        <f>[1]FINAL!A716</f>
        <v>0</v>
      </c>
    </row>
    <row r="717" spans="10:11" x14ac:dyDescent="0.3">
      <c r="J717" s="10">
        <f>[1]FINAL!B717</f>
        <v>0</v>
      </c>
      <c r="K717">
        <f>[1]FINAL!A717</f>
        <v>0</v>
      </c>
    </row>
    <row r="718" spans="10:11" x14ac:dyDescent="0.3">
      <c r="J718" s="10">
        <f>[1]FINAL!B718</f>
        <v>0</v>
      </c>
      <c r="K718">
        <f>[1]FINAL!A718</f>
        <v>0</v>
      </c>
    </row>
    <row r="719" spans="10:11" x14ac:dyDescent="0.3">
      <c r="J719" s="10">
        <f>[1]FINAL!B719</f>
        <v>0</v>
      </c>
      <c r="K719">
        <f>[1]FINAL!A719</f>
        <v>0</v>
      </c>
    </row>
    <row r="720" spans="10:11" x14ac:dyDescent="0.3">
      <c r="J720" s="10">
        <f>[1]FINAL!B720</f>
        <v>0</v>
      </c>
      <c r="K720">
        <f>[1]FINAL!A720</f>
        <v>0</v>
      </c>
    </row>
    <row r="721" spans="10:11" x14ac:dyDescent="0.3">
      <c r="J721" s="10">
        <f>[1]FINAL!B721</f>
        <v>0</v>
      </c>
      <c r="K721">
        <f>[1]FINAL!A721</f>
        <v>0</v>
      </c>
    </row>
    <row r="722" spans="10:11" x14ac:dyDescent="0.3">
      <c r="J722" s="10">
        <f>[1]FINAL!B722</f>
        <v>0</v>
      </c>
      <c r="K722">
        <f>[1]FINAL!A722</f>
        <v>0</v>
      </c>
    </row>
    <row r="723" spans="10:11" x14ac:dyDescent="0.3">
      <c r="J723" s="10">
        <f>[1]FINAL!B723</f>
        <v>0</v>
      </c>
      <c r="K723">
        <f>[1]FINAL!A723</f>
        <v>0</v>
      </c>
    </row>
    <row r="724" spans="10:11" x14ac:dyDescent="0.3">
      <c r="J724" s="10">
        <f>[1]FINAL!B724</f>
        <v>0</v>
      </c>
      <c r="K724">
        <f>[1]FINAL!A724</f>
        <v>0</v>
      </c>
    </row>
    <row r="725" spans="10:11" x14ac:dyDescent="0.3">
      <c r="J725" s="10">
        <f>[1]FINAL!B725</f>
        <v>0</v>
      </c>
      <c r="K725">
        <f>[1]FINAL!A725</f>
        <v>0</v>
      </c>
    </row>
    <row r="726" spans="10:11" x14ac:dyDescent="0.3">
      <c r="J726" s="10">
        <f>[1]FINAL!B726</f>
        <v>0</v>
      </c>
      <c r="K726">
        <f>[1]FINAL!A726</f>
        <v>0</v>
      </c>
    </row>
    <row r="727" spans="10:11" x14ac:dyDescent="0.3">
      <c r="J727" s="10">
        <f>[1]FINAL!B727</f>
        <v>0</v>
      </c>
      <c r="K727">
        <f>[1]FINAL!A727</f>
        <v>0</v>
      </c>
    </row>
    <row r="728" spans="10:11" x14ac:dyDescent="0.3">
      <c r="J728" s="10">
        <f>[1]FINAL!B728</f>
        <v>0</v>
      </c>
      <c r="K728">
        <f>[1]FINAL!A728</f>
        <v>0</v>
      </c>
    </row>
    <row r="729" spans="10:11" x14ac:dyDescent="0.3">
      <c r="J729" s="10">
        <f>[1]FINAL!B729</f>
        <v>0</v>
      </c>
      <c r="K729">
        <f>[1]FINAL!A729</f>
        <v>0</v>
      </c>
    </row>
    <row r="730" spans="10:11" x14ac:dyDescent="0.3">
      <c r="J730" s="10">
        <f>[1]FINAL!B730</f>
        <v>0</v>
      </c>
      <c r="K730">
        <f>[1]FINAL!A730</f>
        <v>0</v>
      </c>
    </row>
    <row r="731" spans="10:11" x14ac:dyDescent="0.3">
      <c r="J731" s="10">
        <f>[1]FINAL!B731</f>
        <v>0</v>
      </c>
      <c r="K731">
        <f>[1]FINAL!A731</f>
        <v>0</v>
      </c>
    </row>
    <row r="732" spans="10:11" x14ac:dyDescent="0.3">
      <c r="J732" s="10">
        <f>[1]FINAL!B732</f>
        <v>0</v>
      </c>
      <c r="K732">
        <f>[1]FINAL!A732</f>
        <v>0</v>
      </c>
    </row>
    <row r="733" spans="10:11" x14ac:dyDescent="0.3">
      <c r="J733" s="10">
        <f>[1]FINAL!B733</f>
        <v>0</v>
      </c>
      <c r="K733">
        <f>[1]FINAL!A733</f>
        <v>0</v>
      </c>
    </row>
    <row r="734" spans="10:11" x14ac:dyDescent="0.3">
      <c r="J734" s="10">
        <f>[1]FINAL!B734</f>
        <v>0</v>
      </c>
      <c r="K734">
        <f>[1]FINAL!A734</f>
        <v>0</v>
      </c>
    </row>
    <row r="735" spans="10:11" x14ac:dyDescent="0.3">
      <c r="J735" s="10">
        <f>[1]FINAL!B735</f>
        <v>0</v>
      </c>
      <c r="K735">
        <f>[1]FINAL!A735</f>
        <v>0</v>
      </c>
    </row>
    <row r="736" spans="10:11" x14ac:dyDescent="0.3">
      <c r="J736" s="10">
        <f>[1]FINAL!B736</f>
        <v>0</v>
      </c>
      <c r="K736">
        <f>[1]FINAL!A736</f>
        <v>0</v>
      </c>
    </row>
    <row r="737" spans="10:11" x14ac:dyDescent="0.3">
      <c r="J737" s="10">
        <f>[1]FINAL!B737</f>
        <v>0</v>
      </c>
      <c r="K737">
        <f>[1]FINAL!A737</f>
        <v>0</v>
      </c>
    </row>
    <row r="738" spans="10:11" x14ac:dyDescent="0.3">
      <c r="J738" s="10">
        <f>[1]FINAL!B738</f>
        <v>0</v>
      </c>
      <c r="K738">
        <f>[1]FINAL!A738</f>
        <v>0</v>
      </c>
    </row>
    <row r="739" spans="10:11" x14ac:dyDescent="0.3">
      <c r="J739" s="10">
        <f>[1]FINAL!B739</f>
        <v>0</v>
      </c>
      <c r="K739">
        <f>[1]FINAL!A739</f>
        <v>0</v>
      </c>
    </row>
    <row r="740" spans="10:11" x14ac:dyDescent="0.3">
      <c r="J740" s="10">
        <f>[1]FINAL!B740</f>
        <v>0</v>
      </c>
      <c r="K740">
        <f>[1]FINAL!A740</f>
        <v>0</v>
      </c>
    </row>
    <row r="741" spans="10:11" x14ac:dyDescent="0.3">
      <c r="J741" s="10">
        <f>[1]FINAL!B741</f>
        <v>0</v>
      </c>
      <c r="K741">
        <f>[1]FINAL!A741</f>
        <v>0</v>
      </c>
    </row>
    <row r="742" spans="10:11" x14ac:dyDescent="0.3">
      <c r="J742" s="10">
        <f>[1]FINAL!B742</f>
        <v>0</v>
      </c>
      <c r="K742">
        <f>[1]FINAL!A742</f>
        <v>0</v>
      </c>
    </row>
    <row r="743" spans="10:11" x14ac:dyDescent="0.3">
      <c r="J743" s="10">
        <f>[1]FINAL!B743</f>
        <v>0</v>
      </c>
      <c r="K743">
        <f>[1]FINAL!A743</f>
        <v>0</v>
      </c>
    </row>
    <row r="744" spans="10:11" x14ac:dyDescent="0.3">
      <c r="J744" s="10">
        <f>[1]FINAL!B744</f>
        <v>0</v>
      </c>
      <c r="K744">
        <f>[1]FINAL!A744</f>
        <v>0</v>
      </c>
    </row>
    <row r="745" spans="10:11" x14ac:dyDescent="0.3">
      <c r="J745" s="10">
        <f>[1]FINAL!B745</f>
        <v>0</v>
      </c>
      <c r="K745">
        <f>[1]FINAL!A745</f>
        <v>0</v>
      </c>
    </row>
    <row r="746" spans="10:11" x14ac:dyDescent="0.3">
      <c r="J746" s="10" t="str">
        <f>[1]FINAL!B746</f>
        <v>Pepe</v>
      </c>
      <c r="K746" t="str">
        <f>[1]FINAL!A746</f>
        <v>Nicolas Pépé</v>
      </c>
    </row>
    <row r="747" spans="10:11" x14ac:dyDescent="0.3">
      <c r="J747" s="10">
        <f>[1]FINAL!B747</f>
        <v>0</v>
      </c>
      <c r="K747">
        <f>[1]FINAL!A747</f>
        <v>0</v>
      </c>
    </row>
    <row r="748" spans="10:11" x14ac:dyDescent="0.3">
      <c r="J748" s="10" t="str">
        <f>[1]FINAL!B748</f>
        <v>Tavares</v>
      </c>
      <c r="K748" t="str">
        <f>[1]FINAL!A748</f>
        <v>Nuno Varela Tavares</v>
      </c>
    </row>
    <row r="749" spans="10:11" x14ac:dyDescent="0.3">
      <c r="J749" s="10" t="str">
        <f>[1]FINAL!B749</f>
        <v>Iroegbunam</v>
      </c>
      <c r="K749" t="str">
        <f>[1]FINAL!A749</f>
        <v>Tim Iroegbunam</v>
      </c>
    </row>
    <row r="750" spans="10:11" x14ac:dyDescent="0.3">
      <c r="J750" s="10" t="str">
        <f>[1]FINAL!B750</f>
        <v>Philogene</v>
      </c>
      <c r="K750" t="str">
        <f>[1]FINAL!A750</f>
        <v>Jaden Philogene-Bidace</v>
      </c>
    </row>
    <row r="751" spans="10:11" x14ac:dyDescent="0.3">
      <c r="J751" s="10" t="str">
        <f>[1]FINAL!B751</f>
        <v>Davis</v>
      </c>
      <c r="K751" t="str">
        <f>[1]FINAL!A751</f>
        <v>Keinan Davis</v>
      </c>
    </row>
    <row r="752" spans="10:11" x14ac:dyDescent="0.3">
      <c r="J752" s="10" t="str">
        <f>[1]FINAL!B752</f>
        <v>Hause</v>
      </c>
      <c r="K752" t="str">
        <f>[1]FINAL!A752</f>
        <v>Kortney Hause</v>
      </c>
    </row>
    <row r="753" spans="10:11" x14ac:dyDescent="0.3">
      <c r="J753" s="10" t="str">
        <f>[1]FINAL!B753</f>
        <v>Randolph</v>
      </c>
      <c r="K753" t="str">
        <f>[1]FINAL!A753</f>
        <v>Darren Randolph</v>
      </c>
    </row>
    <row r="754" spans="10:11" x14ac:dyDescent="0.3">
      <c r="J754" s="10" t="str">
        <f>[1]FINAL!B754</f>
        <v>Hill</v>
      </c>
      <c r="K754" t="str">
        <f>[1]FINAL!A754</f>
        <v>James Hill</v>
      </c>
    </row>
    <row r="755" spans="10:11" x14ac:dyDescent="0.3">
      <c r="J755" s="10" t="str">
        <f>[1]FINAL!B755</f>
        <v>Bidstrup</v>
      </c>
      <c r="K755" t="str">
        <f>[1]FINAL!A755</f>
        <v>Mads Bidstrup</v>
      </c>
    </row>
    <row r="756" spans="10:11" x14ac:dyDescent="0.3">
      <c r="J756" s="10" t="str">
        <f>[1]FINAL!B756</f>
        <v>Strakosha</v>
      </c>
      <c r="K756" t="str">
        <f>[1]FINAL!A756</f>
        <v>Thomas Strakosha</v>
      </c>
    </row>
    <row r="757" spans="10:11" x14ac:dyDescent="0.3">
      <c r="J757" s="10" t="str">
        <f>[1]FINAL!B757</f>
        <v>Balcombe</v>
      </c>
      <c r="K757" t="str">
        <f>[1]FINAL!A757</f>
        <v>Ellery Balcombe</v>
      </c>
    </row>
    <row r="758" spans="10:11" x14ac:dyDescent="0.3">
      <c r="J758" s="10" t="str">
        <f>[1]FINAL!B758</f>
        <v>Goode</v>
      </c>
      <c r="K758" t="str">
        <f>[1]FINAL!A758</f>
        <v>Charlie Goode</v>
      </c>
    </row>
    <row r="759" spans="10:11" x14ac:dyDescent="0.3">
      <c r="J759" s="10" t="str">
        <f>[1]FINAL!B759</f>
        <v>Moder</v>
      </c>
      <c r="K759" t="str">
        <f>[1]FINAL!A759</f>
        <v>Jakub Moder</v>
      </c>
    </row>
    <row r="760" spans="10:11" x14ac:dyDescent="0.3">
      <c r="J760" s="10" t="str">
        <f>[1]FINAL!B760</f>
        <v>Alzate</v>
      </c>
      <c r="K760" t="str">
        <f>[1]FINAL!A760</f>
        <v>Steven Alzate</v>
      </c>
    </row>
    <row r="761" spans="10:11" x14ac:dyDescent="0.3">
      <c r="J761" s="10" t="str">
        <f>[1]FINAL!B761</f>
        <v>Kozłowski</v>
      </c>
      <c r="K761" t="str">
        <f>[1]FINAL!A761</f>
        <v>Kacper Kozłowski</v>
      </c>
    </row>
    <row r="762" spans="10:11" x14ac:dyDescent="0.3">
      <c r="J762" s="10" t="str">
        <f>[1]FINAL!B762</f>
        <v>Scherpen</v>
      </c>
      <c r="K762" t="str">
        <f>[1]FINAL!A762</f>
        <v>Kjell Scherpen</v>
      </c>
    </row>
    <row r="763" spans="10:11" x14ac:dyDescent="0.3">
      <c r="J763" s="10" t="str">
        <f>[1]FINAL!B763</f>
        <v>Hudson-Odoi</v>
      </c>
      <c r="K763" t="str">
        <f>[1]FINAL!A763</f>
        <v>Callum Hudson-Odoi</v>
      </c>
    </row>
    <row r="764" spans="10:11" x14ac:dyDescent="0.3">
      <c r="J764" s="10" t="str">
        <f>[1]FINAL!B764</f>
        <v>M.Sarr</v>
      </c>
      <c r="K764" t="str">
        <f>[1]FINAL!A764</f>
        <v>Malang Sarr</v>
      </c>
    </row>
    <row r="765" spans="10:11" x14ac:dyDescent="0.3">
      <c r="J765" s="10" t="str">
        <f>[1]FINAL!B765</f>
        <v>Ampadu</v>
      </c>
      <c r="K765" t="str">
        <f>[1]FINAL!A765</f>
        <v>Ethan Ampadu</v>
      </c>
    </row>
    <row r="766" spans="10:11" x14ac:dyDescent="0.3">
      <c r="J766" s="10" t="str">
        <f>[1]FINAL!B766</f>
        <v>Matthews</v>
      </c>
      <c r="K766" t="str">
        <f>[1]FINAL!A766</f>
        <v>Remi Matthews</v>
      </c>
    </row>
    <row r="767" spans="10:11" x14ac:dyDescent="0.3">
      <c r="J767" s="10" t="str">
        <f>[1]FINAL!B767</f>
        <v>Plange</v>
      </c>
      <c r="K767" t="str">
        <f>[1]FINAL!A767</f>
        <v>Luke Plange</v>
      </c>
    </row>
    <row r="768" spans="10:11" x14ac:dyDescent="0.3">
      <c r="J768" s="10" t="str">
        <f>[1]FINAL!B768</f>
        <v>André Gomes</v>
      </c>
      <c r="K768" t="str">
        <f>[1]FINAL!A768</f>
        <v>André Tavares Gomes</v>
      </c>
    </row>
    <row r="769" spans="10:11" x14ac:dyDescent="0.3">
      <c r="J769" s="10" t="str">
        <f>[1]FINAL!B769</f>
        <v>Gbamin</v>
      </c>
      <c r="K769" t="str">
        <f>[1]FINAL!A769</f>
        <v>Jean-Philippe Gbamin</v>
      </c>
    </row>
    <row r="770" spans="10:11" x14ac:dyDescent="0.3">
      <c r="J770" s="10" t="str">
        <f>[1]FINAL!B770</f>
        <v>Branthwaite</v>
      </c>
      <c r="K770" t="str">
        <f>[1]FINAL!A770</f>
        <v>Jarrad Branthwaite</v>
      </c>
    </row>
    <row r="771" spans="10:11" x14ac:dyDescent="0.3">
      <c r="J771" s="10" t="str">
        <f>[1]FINAL!B771</f>
        <v>Knockaert</v>
      </c>
      <c r="K771" t="str">
        <f>[1]FINAL!A771</f>
        <v>Anthony Knockaert</v>
      </c>
    </row>
    <row r="772" spans="10:11" x14ac:dyDescent="0.3">
      <c r="J772" s="10" t="str">
        <f>[1]FINAL!B772</f>
        <v>I.Cavaleiro</v>
      </c>
      <c r="K772" t="str">
        <f>[1]FINAL!A772</f>
        <v>Ivan Neves Abreu Cavaleiro</v>
      </c>
    </row>
    <row r="773" spans="10:11" x14ac:dyDescent="0.3">
      <c r="J773" s="10" t="str">
        <f>[1]FINAL!B773</f>
        <v>Muniz</v>
      </c>
      <c r="K773" t="str">
        <f>[1]FINAL!A773</f>
        <v>Rodrigo Muniz Carvalho</v>
      </c>
    </row>
    <row r="774" spans="10:11" x14ac:dyDescent="0.3">
      <c r="J774" s="10" t="str">
        <f>[1]FINAL!B774</f>
        <v>Kongolo</v>
      </c>
      <c r="K774" t="str">
        <f>[1]FINAL!A774</f>
        <v>Terence Kongolo</v>
      </c>
    </row>
    <row r="775" spans="10:11" x14ac:dyDescent="0.3">
      <c r="J775" s="10" t="str">
        <f>[1]FINAL!B775</f>
        <v>Adrián</v>
      </c>
      <c r="K775" t="str">
        <f>[1]FINAL!A775</f>
        <v>Adrián San Miguel del Castillo</v>
      </c>
    </row>
    <row r="776" spans="10:11" x14ac:dyDescent="0.3">
      <c r="J776" s="10" t="str">
        <f>[1]FINAL!B776</f>
        <v>Van den Berg</v>
      </c>
      <c r="K776" t="str">
        <f>[1]FINAL!A776</f>
        <v>Sepp van den Berg</v>
      </c>
    </row>
    <row r="777" spans="10:11" x14ac:dyDescent="0.3">
      <c r="J777" s="10" t="str">
        <f>[1]FINAL!B777</f>
        <v>Nakamba</v>
      </c>
      <c r="K777" t="str">
        <f>[1]FINAL!A777</f>
        <v>Marvelous Nakamba</v>
      </c>
    </row>
    <row r="778" spans="10:11" x14ac:dyDescent="0.3">
      <c r="J778" s="10" t="str">
        <f>[1]FINAL!B778</f>
        <v>McAtee</v>
      </c>
      <c r="K778" t="str">
        <f>[1]FINAL!A778</f>
        <v>James McAtee</v>
      </c>
    </row>
    <row r="779" spans="10:11" x14ac:dyDescent="0.3">
      <c r="J779" s="10" t="str">
        <f>[1]FINAL!B779</f>
        <v>Carson</v>
      </c>
      <c r="K779" t="str">
        <f>[1]FINAL!A779</f>
        <v>Scott Carson</v>
      </c>
    </row>
    <row r="780" spans="10:11" x14ac:dyDescent="0.3">
      <c r="J780" s="10" t="str">
        <f>[1]FINAL!B780</f>
        <v>Steffen</v>
      </c>
      <c r="K780" t="str">
        <f>[1]FINAL!A780</f>
        <v>Zack Steffen</v>
      </c>
    </row>
    <row r="781" spans="10:11" x14ac:dyDescent="0.3">
      <c r="J781" s="10" t="str">
        <f>[1]FINAL!B781</f>
        <v>Amad</v>
      </c>
      <c r="K781" t="str">
        <f>[1]FINAL!A781</f>
        <v>Amad Diallo</v>
      </c>
    </row>
    <row r="782" spans="10:11" x14ac:dyDescent="0.3">
      <c r="J782" s="10" t="str">
        <f>[1]FINAL!B782</f>
        <v>Heaton</v>
      </c>
      <c r="K782" t="str">
        <f>[1]FINAL!A782</f>
        <v>Tom Heaton</v>
      </c>
    </row>
    <row r="783" spans="10:11" x14ac:dyDescent="0.3">
      <c r="J783" s="10" t="str">
        <f>[1]FINAL!B783</f>
        <v>B.Williams</v>
      </c>
      <c r="K783" t="str">
        <f>[1]FINAL!A783</f>
        <v>Brandon Williams</v>
      </c>
    </row>
    <row r="784" spans="10:11" x14ac:dyDescent="0.3">
      <c r="J784" s="10" t="str">
        <f>[1]FINAL!B784</f>
        <v>Bailly</v>
      </c>
      <c r="K784" t="str">
        <f>[1]FINAL!A784</f>
        <v>Eric Bailly</v>
      </c>
    </row>
    <row r="785" spans="10:11" x14ac:dyDescent="0.3">
      <c r="J785" s="10" t="str">
        <f>[1]FINAL!B785</f>
        <v>Alex Telles</v>
      </c>
      <c r="K785" t="str">
        <f>[1]FINAL!A785</f>
        <v>Alex Telles</v>
      </c>
    </row>
    <row r="786" spans="10:11" x14ac:dyDescent="0.3">
      <c r="J786" s="10" t="str">
        <f>[1]FINAL!B786</f>
        <v>Hendrick</v>
      </c>
      <c r="K786" t="str">
        <f>[1]FINAL!A786</f>
        <v>Jeff Hendrick</v>
      </c>
    </row>
    <row r="787" spans="10:11" x14ac:dyDescent="0.3">
      <c r="J787" s="10" t="str">
        <f>[1]FINAL!B787</f>
        <v>Darlow</v>
      </c>
      <c r="K787" t="str">
        <f>[1]FINAL!A787</f>
        <v>Karl Darlow</v>
      </c>
    </row>
    <row r="788" spans="10:11" x14ac:dyDescent="0.3">
      <c r="J788" s="10" t="str">
        <f>[1]FINAL!B788</f>
        <v>Dummett</v>
      </c>
      <c r="K788" t="str">
        <f>[1]FINAL!A788</f>
        <v>Paul Dummett</v>
      </c>
    </row>
    <row r="789" spans="10:11" x14ac:dyDescent="0.3">
      <c r="J789" s="10" t="str">
        <f>[1]FINAL!B789</f>
        <v>Ashby</v>
      </c>
      <c r="K789" t="str">
        <f>[1]FINAL!A789</f>
        <v>Harrison Ashby</v>
      </c>
    </row>
    <row r="790" spans="10:11" x14ac:dyDescent="0.3">
      <c r="J790" s="10" t="str">
        <f>[1]FINAL!B790</f>
        <v>Arter</v>
      </c>
      <c r="K790" t="str">
        <f>[1]FINAL!A790</f>
        <v>Harry Arter</v>
      </c>
    </row>
    <row r="791" spans="10:11" x14ac:dyDescent="0.3">
      <c r="J791" s="10" t="str">
        <f>[1]FINAL!B791</f>
        <v>Ojeda</v>
      </c>
      <c r="K791" t="str">
        <f>[1]FINAL!A791</f>
        <v>Braian Ojeda Rodríguez</v>
      </c>
    </row>
    <row r="792" spans="10:11" x14ac:dyDescent="0.3">
      <c r="J792" s="10" t="str">
        <f>[1]FINAL!B792</f>
        <v>Dräger</v>
      </c>
      <c r="K792" t="str">
        <f>[1]FINAL!A792</f>
        <v>Mohamed Dräger</v>
      </c>
    </row>
    <row r="793" spans="10:11" x14ac:dyDescent="0.3">
      <c r="J793" s="10" t="str">
        <f>[1]FINAL!B793</f>
        <v>Panzo</v>
      </c>
      <c r="K793" t="str">
        <f>[1]FINAL!A793</f>
        <v>Jonathan Panzo</v>
      </c>
    </row>
    <row r="794" spans="10:11" x14ac:dyDescent="0.3">
      <c r="J794" s="10" t="str">
        <f>[1]FINAL!B794</f>
        <v>Mbe Soh</v>
      </c>
      <c r="K794" t="str">
        <f>[1]FINAL!A794</f>
        <v>Loïc Mbe Soh</v>
      </c>
    </row>
    <row r="795" spans="10:11" x14ac:dyDescent="0.3">
      <c r="J795" s="10" t="str">
        <f>[1]FINAL!B795</f>
        <v>O.Richards</v>
      </c>
      <c r="K795" t="str">
        <f>[1]FINAL!A795</f>
        <v>Omar Richards</v>
      </c>
    </row>
    <row r="796" spans="10:11" x14ac:dyDescent="0.3">
      <c r="J796" s="10" t="str">
        <f>[1]FINAL!B796</f>
        <v>Laryea</v>
      </c>
      <c r="K796" t="str">
        <f>[1]FINAL!A796</f>
        <v>Richie Laryea</v>
      </c>
    </row>
    <row r="797" spans="10:11" x14ac:dyDescent="0.3">
      <c r="J797" s="10" t="str">
        <f>[1]FINAL!B797</f>
        <v>Austin</v>
      </c>
      <c r="K797" t="str">
        <f>[1]FINAL!A797</f>
        <v>Brandon Austin</v>
      </c>
    </row>
    <row r="798" spans="10:11" x14ac:dyDescent="0.3">
      <c r="J798" s="10" t="str">
        <f>[1]FINAL!B798</f>
        <v>Reguilón</v>
      </c>
      <c r="K798" t="str">
        <f>[1]FINAL!A798</f>
        <v>Sergio Reguilón</v>
      </c>
    </row>
    <row r="799" spans="10:11" x14ac:dyDescent="0.3">
      <c r="J799" s="10" t="str">
        <f>[1]FINAL!B799</f>
        <v>Rodon</v>
      </c>
      <c r="K799" t="str">
        <f>[1]FINAL!A799</f>
        <v>Joe Rodon</v>
      </c>
    </row>
    <row r="800" spans="10:11" x14ac:dyDescent="0.3">
      <c r="J800" s="10" t="str">
        <f>[1]FINAL!B800</f>
        <v>Cundle</v>
      </c>
      <c r="K800" t="str">
        <f>[1]FINAL!A800</f>
        <v>Luke Cundle</v>
      </c>
    </row>
    <row r="801" spans="10:11" x14ac:dyDescent="0.3">
      <c r="J801" s="10" t="str">
        <f>[1]FINAL!B801</f>
        <v>Chiquinho</v>
      </c>
      <c r="K801" t="str">
        <f>[1]FINAL!A801</f>
        <v>Francisco Jorge Tomás Oliveira</v>
      </c>
    </row>
    <row r="802" spans="10:11" x14ac:dyDescent="0.3">
      <c r="J802" s="10" t="str">
        <f>[1]FINAL!B802</f>
        <v>Šarkić</v>
      </c>
      <c r="K802" t="str">
        <f>[1]FINAL!A802</f>
        <v>Matija Šarkić</v>
      </c>
    </row>
    <row r="803" spans="10:11" x14ac:dyDescent="0.3">
      <c r="J803" s="10">
        <f>[1]FINAL!B803</f>
        <v>0</v>
      </c>
      <c r="K803">
        <f>[1]FINAL!A803</f>
        <v>0</v>
      </c>
    </row>
    <row r="804" spans="10:11" x14ac:dyDescent="0.3">
      <c r="J804" s="10">
        <f>[1]FINAL!B804</f>
        <v>0</v>
      </c>
      <c r="K804">
        <f>[1]FINAL!A804</f>
        <v>0</v>
      </c>
    </row>
    <row r="805" spans="10:11" x14ac:dyDescent="0.3">
      <c r="J805" s="10">
        <f>[1]FINAL!B805</f>
        <v>0</v>
      </c>
      <c r="K805">
        <f>[1]FINAL!A805</f>
        <v>0</v>
      </c>
    </row>
    <row r="806" spans="10:11" x14ac:dyDescent="0.3">
      <c r="J806" s="10">
        <f>[1]FINAL!B806</f>
        <v>0</v>
      </c>
      <c r="K806">
        <f>[1]FINAL!A806</f>
        <v>0</v>
      </c>
    </row>
    <row r="807" spans="10:11" x14ac:dyDescent="0.3">
      <c r="J807" s="10">
        <f>[1]FINAL!B807</f>
        <v>0</v>
      </c>
      <c r="K807">
        <f>[1]FINAL!A807</f>
        <v>0</v>
      </c>
    </row>
    <row r="808" spans="10:11" x14ac:dyDescent="0.3">
      <c r="J808" s="10">
        <f>[1]FINAL!B808</f>
        <v>0</v>
      </c>
      <c r="K808">
        <f>[1]FINAL!A808</f>
        <v>0</v>
      </c>
    </row>
    <row r="809" spans="10:11" x14ac:dyDescent="0.3">
      <c r="J809" s="10">
        <f>[1]FINAL!B809</f>
        <v>0</v>
      </c>
      <c r="K809">
        <f>[1]FINAL!A809</f>
        <v>0</v>
      </c>
    </row>
    <row r="810" spans="10:11" x14ac:dyDescent="0.3">
      <c r="J810" s="10">
        <f>[1]FINAL!B810</f>
        <v>0</v>
      </c>
      <c r="K810">
        <f>[1]FINAL!A810</f>
        <v>0</v>
      </c>
    </row>
    <row r="811" spans="10:11" x14ac:dyDescent="0.3">
      <c r="J811" s="10">
        <f>[1]FINAL!B811</f>
        <v>0</v>
      </c>
      <c r="K811">
        <f>[1]FINAL!A811</f>
        <v>0</v>
      </c>
    </row>
    <row r="812" spans="10:11" x14ac:dyDescent="0.3">
      <c r="J812" s="10">
        <f>[1]FINAL!B812</f>
        <v>0</v>
      </c>
      <c r="K812">
        <f>[1]FINAL!A812</f>
        <v>0</v>
      </c>
    </row>
    <row r="813" spans="10:11" x14ac:dyDescent="0.3">
      <c r="J813" s="10">
        <f>[1]FINAL!B813</f>
        <v>0</v>
      </c>
      <c r="K813">
        <f>[1]FINAL!A813</f>
        <v>0</v>
      </c>
    </row>
    <row r="814" spans="10:11" x14ac:dyDescent="0.3">
      <c r="J814" s="10">
        <f>[1]FINAL!B814</f>
        <v>0</v>
      </c>
      <c r="K814">
        <f>[1]FINAL!A814</f>
        <v>0</v>
      </c>
    </row>
    <row r="815" spans="10:11" x14ac:dyDescent="0.3">
      <c r="J815" s="10">
        <f>[1]FINAL!B815</f>
        <v>0</v>
      </c>
      <c r="K815">
        <f>[1]FINAL!A815</f>
        <v>0</v>
      </c>
    </row>
    <row r="816" spans="10:11" x14ac:dyDescent="0.3">
      <c r="J816" s="10">
        <f>[1]FINAL!B816</f>
        <v>0</v>
      </c>
      <c r="K816">
        <f>[1]FINAL!A816</f>
        <v>0</v>
      </c>
    </row>
    <row r="817" spans="10:11" x14ac:dyDescent="0.3">
      <c r="J817" s="10">
        <f>[1]FINAL!B817</f>
        <v>0</v>
      </c>
      <c r="K817">
        <f>[1]FINAL!A817</f>
        <v>0</v>
      </c>
    </row>
    <row r="818" spans="10:11" x14ac:dyDescent="0.3">
      <c r="J818" s="10">
        <f>[1]FINAL!B818</f>
        <v>0</v>
      </c>
      <c r="K818">
        <f>[1]FINAL!A818</f>
        <v>0</v>
      </c>
    </row>
    <row r="819" spans="10:11" x14ac:dyDescent="0.3">
      <c r="J819" s="10">
        <f>[1]FINAL!B819</f>
        <v>0</v>
      </c>
      <c r="K819">
        <f>[1]FINAL!A819</f>
        <v>0</v>
      </c>
    </row>
    <row r="820" spans="10:11" x14ac:dyDescent="0.3">
      <c r="J820" s="10">
        <f>[1]FINAL!B820</f>
        <v>0</v>
      </c>
      <c r="K820">
        <f>[1]FINAL!A820</f>
        <v>0</v>
      </c>
    </row>
    <row r="821" spans="10:11" x14ac:dyDescent="0.3">
      <c r="J821" s="10">
        <f>[1]FINAL!B821</f>
        <v>0</v>
      </c>
      <c r="K821">
        <f>[1]FINAL!A821</f>
        <v>0</v>
      </c>
    </row>
    <row r="822" spans="10:11" x14ac:dyDescent="0.3">
      <c r="J822" s="10">
        <f>[1]FINAL!B822</f>
        <v>0</v>
      </c>
      <c r="K822">
        <f>[1]FINAL!A822</f>
        <v>0</v>
      </c>
    </row>
    <row r="823" spans="10:11" x14ac:dyDescent="0.3">
      <c r="J823" s="10">
        <f>[1]FINAL!B823</f>
        <v>0</v>
      </c>
      <c r="K823">
        <f>[1]FINAL!A823</f>
        <v>0</v>
      </c>
    </row>
    <row r="824" spans="10:11" x14ac:dyDescent="0.3">
      <c r="J824" s="10">
        <f>[1]FINAL!B824</f>
        <v>0</v>
      </c>
      <c r="K824">
        <f>[1]FINAL!A824</f>
        <v>0</v>
      </c>
    </row>
    <row r="825" spans="10:11" x14ac:dyDescent="0.3">
      <c r="J825" s="10">
        <f>[1]FINAL!B825</f>
        <v>0</v>
      </c>
      <c r="K825">
        <f>[1]FINAL!A825</f>
        <v>0</v>
      </c>
    </row>
    <row r="826" spans="10:11" x14ac:dyDescent="0.3">
      <c r="J826" s="10">
        <f>[1]FINAL!B826</f>
        <v>0</v>
      </c>
      <c r="K826">
        <f>[1]FINAL!A826</f>
        <v>0</v>
      </c>
    </row>
    <row r="827" spans="10:11" x14ac:dyDescent="0.3">
      <c r="J827" s="10">
        <f>[1]FINAL!B827</f>
        <v>0</v>
      </c>
      <c r="K827">
        <f>[1]FINAL!A827</f>
        <v>0</v>
      </c>
    </row>
    <row r="828" spans="10:11" x14ac:dyDescent="0.3">
      <c r="J828" s="10">
        <f>[1]FINAL!B828</f>
        <v>0</v>
      </c>
      <c r="K828">
        <f>[1]FINAL!A828</f>
        <v>0</v>
      </c>
    </row>
    <row r="829" spans="10:11" x14ac:dyDescent="0.3">
      <c r="J829" s="10">
        <f>[1]FINAL!B829</f>
        <v>0</v>
      </c>
      <c r="K829">
        <f>[1]FINAL!A829</f>
        <v>0</v>
      </c>
    </row>
    <row r="830" spans="10:11" x14ac:dyDescent="0.3">
      <c r="J830" s="10">
        <f>[1]FINAL!B830</f>
        <v>0</v>
      </c>
      <c r="K830">
        <f>[1]FINAL!A830</f>
        <v>0</v>
      </c>
    </row>
    <row r="831" spans="10:11" x14ac:dyDescent="0.3">
      <c r="J831" s="10">
        <f>[1]FINAL!B831</f>
        <v>0</v>
      </c>
      <c r="K831">
        <f>[1]FINAL!A831</f>
        <v>0</v>
      </c>
    </row>
    <row r="832" spans="10:11" x14ac:dyDescent="0.3">
      <c r="J832" s="10">
        <f>[1]FINAL!B832</f>
        <v>0</v>
      </c>
      <c r="K832">
        <f>[1]FINAL!A832</f>
        <v>0</v>
      </c>
    </row>
    <row r="833" spans="10:11" x14ac:dyDescent="0.3">
      <c r="J833" s="10">
        <f>[1]FINAL!B833</f>
        <v>0</v>
      </c>
      <c r="K833">
        <f>[1]FINAL!A833</f>
        <v>0</v>
      </c>
    </row>
    <row r="834" spans="10:11" x14ac:dyDescent="0.3">
      <c r="J834" s="10">
        <f>[1]FINAL!B834</f>
        <v>0</v>
      </c>
      <c r="K834">
        <f>[1]FINAL!A834</f>
        <v>0</v>
      </c>
    </row>
    <row r="835" spans="10:11" x14ac:dyDescent="0.3">
      <c r="J835" s="10">
        <f>[1]FINAL!B835</f>
        <v>0</v>
      </c>
      <c r="K835">
        <f>[1]FINAL!A835</f>
        <v>0</v>
      </c>
    </row>
    <row r="836" spans="10:11" x14ac:dyDescent="0.3">
      <c r="J836" s="10">
        <f>[1]FINAL!B836</f>
        <v>0</v>
      </c>
      <c r="K836">
        <f>[1]FINAL!A836</f>
        <v>0</v>
      </c>
    </row>
    <row r="837" spans="10:11" x14ac:dyDescent="0.3">
      <c r="J837" s="10">
        <f>[1]FINAL!B837</f>
        <v>0</v>
      </c>
      <c r="K837">
        <f>[1]FINAL!A837</f>
        <v>0</v>
      </c>
    </row>
    <row r="838" spans="10:11" x14ac:dyDescent="0.3">
      <c r="J838" s="10">
        <f>[1]FINAL!B838</f>
        <v>0</v>
      </c>
      <c r="K838">
        <f>[1]FINAL!A838</f>
        <v>0</v>
      </c>
    </row>
    <row r="839" spans="10:11" x14ac:dyDescent="0.3">
      <c r="J839" s="10">
        <f>[1]FINAL!B839</f>
        <v>0</v>
      </c>
      <c r="K839">
        <f>[1]FINAL!A839</f>
        <v>0</v>
      </c>
    </row>
    <row r="840" spans="10:11" x14ac:dyDescent="0.3">
      <c r="J840" s="10">
        <f>[1]FINAL!B840</f>
        <v>0</v>
      </c>
      <c r="K840">
        <f>[1]FINAL!A840</f>
        <v>0</v>
      </c>
    </row>
    <row r="841" spans="10:11" x14ac:dyDescent="0.3">
      <c r="J841" s="10">
        <f>[1]FINAL!B841</f>
        <v>0</v>
      </c>
      <c r="K841">
        <f>[1]FINAL!A841</f>
        <v>0</v>
      </c>
    </row>
    <row r="842" spans="10:11" x14ac:dyDescent="0.3">
      <c r="J842" s="10">
        <f>[1]FINAL!B842</f>
        <v>0</v>
      </c>
      <c r="K842">
        <f>[1]FINAL!A842</f>
        <v>0</v>
      </c>
    </row>
    <row r="843" spans="10:11" x14ac:dyDescent="0.3">
      <c r="J843" s="10">
        <f>[1]FINAL!B843</f>
        <v>0</v>
      </c>
      <c r="K843">
        <f>[1]FINAL!A843</f>
        <v>0</v>
      </c>
    </row>
    <row r="844" spans="10:11" x14ac:dyDescent="0.3">
      <c r="J844" s="10">
        <f>[1]FINAL!B844</f>
        <v>0</v>
      </c>
      <c r="K844">
        <f>[1]FINAL!A844</f>
        <v>0</v>
      </c>
    </row>
    <row r="845" spans="10:11" x14ac:dyDescent="0.3">
      <c r="J845" s="10">
        <f>[1]FINAL!B845</f>
        <v>0</v>
      </c>
      <c r="K845">
        <f>[1]FINAL!A845</f>
        <v>0</v>
      </c>
    </row>
    <row r="846" spans="10:11" x14ac:dyDescent="0.3">
      <c r="J846" s="10">
        <f>[1]FINAL!B846</f>
        <v>0</v>
      </c>
      <c r="K846">
        <f>[1]FINAL!A846</f>
        <v>0</v>
      </c>
    </row>
    <row r="847" spans="10:11" x14ac:dyDescent="0.3">
      <c r="J847" s="10">
        <f>[1]FINAL!B847</f>
        <v>0</v>
      </c>
      <c r="K847">
        <f>[1]FINAL!A847</f>
        <v>0</v>
      </c>
    </row>
    <row r="848" spans="10:11" x14ac:dyDescent="0.3">
      <c r="J848" s="10">
        <f>[1]FINAL!B848</f>
        <v>0</v>
      </c>
      <c r="K848">
        <f>[1]FINAL!A848</f>
        <v>0</v>
      </c>
    </row>
    <row r="849" spans="10:11" x14ac:dyDescent="0.3">
      <c r="J849" s="10">
        <f>[1]FINAL!B849</f>
        <v>0</v>
      </c>
      <c r="K849">
        <f>[1]FINAL!A849</f>
        <v>0</v>
      </c>
    </row>
    <row r="850" spans="10:11" x14ac:dyDescent="0.3">
      <c r="J850" s="10">
        <f>[1]FINAL!B850</f>
        <v>0</v>
      </c>
      <c r="K850">
        <f>[1]FINAL!A850</f>
        <v>0</v>
      </c>
    </row>
    <row r="851" spans="10:11" x14ac:dyDescent="0.3">
      <c r="J851" s="10">
        <f>[1]FINAL!B851</f>
        <v>0</v>
      </c>
      <c r="K851">
        <f>[1]FINAL!A851</f>
        <v>0</v>
      </c>
    </row>
    <row r="852" spans="10:11" x14ac:dyDescent="0.3">
      <c r="J852" s="10">
        <f>[1]FINAL!B852</f>
        <v>0</v>
      </c>
      <c r="K852">
        <f>[1]FINAL!A852</f>
        <v>0</v>
      </c>
    </row>
    <row r="853" spans="10:11" x14ac:dyDescent="0.3">
      <c r="J853" s="10">
        <f>[1]FINAL!B853</f>
        <v>0</v>
      </c>
      <c r="K853">
        <f>[1]FINAL!A853</f>
        <v>0</v>
      </c>
    </row>
    <row r="854" spans="10:11" x14ac:dyDescent="0.3">
      <c r="J854" s="10">
        <f>[1]FINAL!B854</f>
        <v>0</v>
      </c>
      <c r="K854">
        <f>[1]FINAL!A854</f>
        <v>0</v>
      </c>
    </row>
    <row r="855" spans="10:11" x14ac:dyDescent="0.3">
      <c r="J855" s="10">
        <f>[1]FINAL!B855</f>
        <v>0</v>
      </c>
      <c r="K855">
        <f>[1]FINAL!A855</f>
        <v>0</v>
      </c>
    </row>
    <row r="856" spans="10:11" x14ac:dyDescent="0.3">
      <c r="J856" s="10">
        <f>[1]FINAL!B856</f>
        <v>0</v>
      </c>
      <c r="K856">
        <f>[1]FINAL!A856</f>
        <v>0</v>
      </c>
    </row>
    <row r="857" spans="10:11" x14ac:dyDescent="0.3">
      <c r="J857" s="10">
        <f>[1]FINAL!B857</f>
        <v>0</v>
      </c>
      <c r="K857">
        <f>[1]FINAL!A857</f>
        <v>0</v>
      </c>
    </row>
    <row r="858" spans="10:11" x14ac:dyDescent="0.3">
      <c r="J858" s="10">
        <f>[1]FINAL!B858</f>
        <v>0</v>
      </c>
      <c r="K858">
        <f>[1]FINAL!A858</f>
        <v>0</v>
      </c>
    </row>
    <row r="859" spans="10:11" x14ac:dyDescent="0.3">
      <c r="J859" s="10">
        <f>[1]FINAL!B859</f>
        <v>0</v>
      </c>
      <c r="K859">
        <f>[1]FINAL!A859</f>
        <v>0</v>
      </c>
    </row>
    <row r="860" spans="10:11" x14ac:dyDescent="0.3">
      <c r="J860" s="10">
        <f>[1]FINAL!B860</f>
        <v>0</v>
      </c>
      <c r="K860">
        <f>[1]FINAL!A860</f>
        <v>0</v>
      </c>
    </row>
    <row r="861" spans="10:11" x14ac:dyDescent="0.3">
      <c r="J861" s="10">
        <f>[1]FINAL!B861</f>
        <v>0</v>
      </c>
      <c r="K861">
        <f>[1]FINAL!A861</f>
        <v>0</v>
      </c>
    </row>
    <row r="862" spans="10:11" x14ac:dyDescent="0.3">
      <c r="J862" s="10">
        <f>[1]FINAL!B862</f>
        <v>0</v>
      </c>
      <c r="K862">
        <f>[1]FINAL!A862</f>
        <v>0</v>
      </c>
    </row>
    <row r="863" spans="10:11" x14ac:dyDescent="0.3">
      <c r="J863" s="10">
        <f>[1]FINAL!B863</f>
        <v>0</v>
      </c>
      <c r="K863">
        <f>[1]FINAL!A863</f>
        <v>0</v>
      </c>
    </row>
    <row r="864" spans="10:11" x14ac:dyDescent="0.3">
      <c r="J864" s="10">
        <f>[1]FINAL!B864</f>
        <v>0</v>
      </c>
      <c r="K864">
        <f>[1]FINAL!A864</f>
        <v>0</v>
      </c>
    </row>
    <row r="865" spans="10:11" x14ac:dyDescent="0.3">
      <c r="J865" s="10">
        <f>[1]FINAL!B865</f>
        <v>0</v>
      </c>
      <c r="K865">
        <f>[1]FINAL!A865</f>
        <v>0</v>
      </c>
    </row>
    <row r="866" spans="10:11" x14ac:dyDescent="0.3">
      <c r="J866" s="10">
        <f>[1]FINAL!B866</f>
        <v>0</v>
      </c>
      <c r="K866">
        <f>[1]FINAL!A866</f>
        <v>0</v>
      </c>
    </row>
    <row r="867" spans="10:11" x14ac:dyDescent="0.3">
      <c r="J867" s="10">
        <f>[1]FINAL!B867</f>
        <v>0</v>
      </c>
      <c r="K867">
        <f>[1]FINAL!A867</f>
        <v>0</v>
      </c>
    </row>
    <row r="868" spans="10:11" x14ac:dyDescent="0.3">
      <c r="J868" s="10">
        <f>[1]FINAL!B868</f>
        <v>0</v>
      </c>
      <c r="K868">
        <f>[1]FINAL!A868</f>
        <v>0</v>
      </c>
    </row>
    <row r="869" spans="10:11" x14ac:dyDescent="0.3">
      <c r="J869" s="10">
        <f>[1]FINAL!B869</f>
        <v>0</v>
      </c>
      <c r="K869">
        <f>[1]FINAL!A869</f>
        <v>0</v>
      </c>
    </row>
    <row r="870" spans="10:11" x14ac:dyDescent="0.3">
      <c r="J870" s="10">
        <f>[1]FINAL!B870</f>
        <v>0</v>
      </c>
      <c r="K870">
        <f>[1]FINAL!A870</f>
        <v>0</v>
      </c>
    </row>
    <row r="871" spans="10:11" x14ac:dyDescent="0.3">
      <c r="J871" s="10">
        <f>[1]FINAL!B871</f>
        <v>0</v>
      </c>
      <c r="K871">
        <f>[1]FINAL!A871</f>
        <v>0</v>
      </c>
    </row>
    <row r="872" spans="10:11" x14ac:dyDescent="0.3">
      <c r="J872" s="10">
        <f>[1]FINAL!B872</f>
        <v>0</v>
      </c>
      <c r="K872">
        <f>[1]FINAL!A872</f>
        <v>0</v>
      </c>
    </row>
    <row r="873" spans="10:11" x14ac:dyDescent="0.3">
      <c r="J873" s="10">
        <f>[1]FINAL!B873</f>
        <v>0</v>
      </c>
      <c r="K873">
        <f>[1]FINAL!A873</f>
        <v>0</v>
      </c>
    </row>
    <row r="874" spans="10:11" x14ac:dyDescent="0.3">
      <c r="J874" s="10">
        <f>[1]FINAL!B874</f>
        <v>0</v>
      </c>
      <c r="K874">
        <f>[1]FINAL!A874</f>
        <v>0</v>
      </c>
    </row>
    <row r="875" spans="10:11" x14ac:dyDescent="0.3">
      <c r="J875" s="10">
        <f>[1]FINAL!B875</f>
        <v>0</v>
      </c>
      <c r="K875">
        <f>[1]FINAL!A875</f>
        <v>0</v>
      </c>
    </row>
    <row r="876" spans="10:11" x14ac:dyDescent="0.3">
      <c r="J876" s="10">
        <f>[1]FINAL!B876</f>
        <v>0</v>
      </c>
      <c r="K876">
        <f>[1]FINAL!A876</f>
        <v>0</v>
      </c>
    </row>
    <row r="877" spans="10:11" x14ac:dyDescent="0.3">
      <c r="J877" s="10">
        <f>[1]FINAL!B877</f>
        <v>0</v>
      </c>
      <c r="K877">
        <f>[1]FINAL!A877</f>
        <v>0</v>
      </c>
    </row>
    <row r="878" spans="10:11" x14ac:dyDescent="0.3">
      <c r="J878" s="10">
        <f>[1]FINAL!B878</f>
        <v>0</v>
      </c>
      <c r="K878">
        <f>[1]FINAL!A878</f>
        <v>0</v>
      </c>
    </row>
    <row r="879" spans="10:11" x14ac:dyDescent="0.3">
      <c r="J879" s="10">
        <f>[1]FINAL!B879</f>
        <v>0</v>
      </c>
      <c r="K879">
        <f>[1]FINAL!A879</f>
        <v>0</v>
      </c>
    </row>
    <row r="880" spans="10:11" x14ac:dyDescent="0.3">
      <c r="J880" s="10">
        <f>[1]FINAL!B880</f>
        <v>0</v>
      </c>
      <c r="K880">
        <f>[1]FINAL!A880</f>
        <v>0</v>
      </c>
    </row>
    <row r="881" spans="10:11" x14ac:dyDescent="0.3">
      <c r="J881" s="10">
        <f>[1]FINAL!B881</f>
        <v>0</v>
      </c>
      <c r="K881">
        <f>[1]FINAL!A881</f>
        <v>0</v>
      </c>
    </row>
    <row r="882" spans="10:11" x14ac:dyDescent="0.3">
      <c r="J882" s="10">
        <f>[1]FINAL!B882</f>
        <v>0</v>
      </c>
      <c r="K882">
        <f>[1]FINAL!A882</f>
        <v>0</v>
      </c>
    </row>
    <row r="883" spans="10:11" x14ac:dyDescent="0.3">
      <c r="J883" s="10">
        <f>[1]FINAL!B883</f>
        <v>0</v>
      </c>
      <c r="K883">
        <f>[1]FINAL!A883</f>
        <v>0</v>
      </c>
    </row>
    <row r="884" spans="10:11" x14ac:dyDescent="0.3">
      <c r="J884" s="10">
        <f>[1]FINAL!B884</f>
        <v>0</v>
      </c>
      <c r="K884">
        <f>[1]FINAL!A884</f>
        <v>0</v>
      </c>
    </row>
    <row r="885" spans="10:11" x14ac:dyDescent="0.3">
      <c r="J885" s="10">
        <f>[1]FINAL!B885</f>
        <v>0</v>
      </c>
      <c r="K885">
        <f>[1]FINAL!A885</f>
        <v>0</v>
      </c>
    </row>
    <row r="886" spans="10:11" x14ac:dyDescent="0.3">
      <c r="J886" s="10">
        <f>[1]FINAL!B886</f>
        <v>0</v>
      </c>
      <c r="K886">
        <f>[1]FINAL!A886</f>
        <v>0</v>
      </c>
    </row>
    <row r="887" spans="10:11" x14ac:dyDescent="0.3">
      <c r="J887" s="10">
        <f>[1]FINAL!B887</f>
        <v>0</v>
      </c>
      <c r="K887">
        <f>[1]FINAL!A887</f>
        <v>0</v>
      </c>
    </row>
    <row r="888" spans="10:11" x14ac:dyDescent="0.3">
      <c r="J888" s="10">
        <f>[1]FINAL!B888</f>
        <v>0</v>
      </c>
      <c r="K888">
        <f>[1]FINAL!A888</f>
        <v>0</v>
      </c>
    </row>
    <row r="889" spans="10:11" x14ac:dyDescent="0.3">
      <c r="J889" s="10">
        <f>[1]FINAL!B889</f>
        <v>0</v>
      </c>
      <c r="K889">
        <f>[1]FINAL!A889</f>
        <v>0</v>
      </c>
    </row>
    <row r="890" spans="10:11" x14ac:dyDescent="0.3">
      <c r="J890" s="10">
        <f>[1]FINAL!B890</f>
        <v>0</v>
      </c>
      <c r="K890">
        <f>[1]FINAL!A890</f>
        <v>0</v>
      </c>
    </row>
    <row r="891" spans="10:11" x14ac:dyDescent="0.3">
      <c r="J891" s="10">
        <f>[1]FINAL!B891</f>
        <v>0</v>
      </c>
      <c r="K891">
        <f>[1]FINAL!A891</f>
        <v>0</v>
      </c>
    </row>
    <row r="892" spans="10:11" x14ac:dyDescent="0.3">
      <c r="J892" s="10">
        <f>[1]FINAL!B892</f>
        <v>0</v>
      </c>
      <c r="K892">
        <f>[1]FINAL!A892</f>
        <v>0</v>
      </c>
    </row>
    <row r="893" spans="10:11" x14ac:dyDescent="0.3">
      <c r="J893" s="10">
        <f>[1]FINAL!B893</f>
        <v>0</v>
      </c>
      <c r="K893">
        <f>[1]FINAL!A893</f>
        <v>0</v>
      </c>
    </row>
    <row r="894" spans="10:11" x14ac:dyDescent="0.3">
      <c r="J894" s="10">
        <f>[1]FINAL!B894</f>
        <v>0</v>
      </c>
      <c r="K894">
        <f>[1]FINAL!A894</f>
        <v>0</v>
      </c>
    </row>
    <row r="895" spans="10:11" x14ac:dyDescent="0.3">
      <c r="J895" s="10">
        <f>[1]FINAL!B895</f>
        <v>0</v>
      </c>
      <c r="K895">
        <f>[1]FINAL!A895</f>
        <v>0</v>
      </c>
    </row>
    <row r="896" spans="10:11" x14ac:dyDescent="0.3">
      <c r="J896" s="10">
        <f>[1]FINAL!B896</f>
        <v>0</v>
      </c>
      <c r="K896">
        <f>[1]FINAL!A896</f>
        <v>0</v>
      </c>
    </row>
    <row r="897" spans="10:11" x14ac:dyDescent="0.3">
      <c r="J897" s="10">
        <f>[1]FINAL!B897</f>
        <v>0</v>
      </c>
      <c r="K897">
        <f>[1]FINAL!A897</f>
        <v>0</v>
      </c>
    </row>
    <row r="898" spans="10:11" x14ac:dyDescent="0.3">
      <c r="J898" s="10">
        <f>[1]FINAL!B898</f>
        <v>0</v>
      </c>
      <c r="K898">
        <f>[1]FINAL!A898</f>
        <v>0</v>
      </c>
    </row>
    <row r="899" spans="10:11" x14ac:dyDescent="0.3">
      <c r="J899" s="10">
        <f>[1]FINAL!B899</f>
        <v>0</v>
      </c>
      <c r="K899">
        <f>[1]FINAL!A899</f>
        <v>0</v>
      </c>
    </row>
    <row r="900" spans="10:11" x14ac:dyDescent="0.3">
      <c r="J900" s="10">
        <f>[1]FINAL!B900</f>
        <v>0</v>
      </c>
      <c r="K900">
        <f>[1]FINAL!A900</f>
        <v>0</v>
      </c>
    </row>
    <row r="901" spans="10:11" x14ac:dyDescent="0.3">
      <c r="J901" s="10">
        <f>[1]FINAL!B901</f>
        <v>0</v>
      </c>
      <c r="K901">
        <f>[1]FINAL!A901</f>
        <v>0</v>
      </c>
    </row>
    <row r="902" spans="10:11" x14ac:dyDescent="0.3">
      <c r="J902" s="10">
        <f>[1]FINAL!B902</f>
        <v>0</v>
      </c>
      <c r="K902">
        <f>[1]FINAL!A902</f>
        <v>0</v>
      </c>
    </row>
    <row r="903" spans="10:11" x14ac:dyDescent="0.3">
      <c r="J903" s="10">
        <f>[1]FINAL!B903</f>
        <v>0</v>
      </c>
      <c r="K903">
        <f>[1]FINAL!A903</f>
        <v>0</v>
      </c>
    </row>
    <row r="904" spans="10:11" x14ac:dyDescent="0.3">
      <c r="J904" s="10">
        <f>[1]FINAL!B904</f>
        <v>0</v>
      </c>
      <c r="K904">
        <f>[1]FINAL!A904</f>
        <v>0</v>
      </c>
    </row>
    <row r="905" spans="10:11" x14ac:dyDescent="0.3">
      <c r="J905" s="10">
        <f>[1]FINAL!B905</f>
        <v>0</v>
      </c>
      <c r="K905">
        <f>[1]FINAL!A905</f>
        <v>0</v>
      </c>
    </row>
    <row r="906" spans="10:11" x14ac:dyDescent="0.3">
      <c r="J906" s="10">
        <f>[1]FINAL!B906</f>
        <v>0</v>
      </c>
      <c r="K906">
        <f>[1]FINAL!A906</f>
        <v>0</v>
      </c>
    </row>
    <row r="907" spans="10:11" x14ac:dyDescent="0.3">
      <c r="J907" s="10">
        <f>[1]FINAL!B907</f>
        <v>0</v>
      </c>
      <c r="K907">
        <f>[1]FINAL!A907</f>
        <v>0</v>
      </c>
    </row>
    <row r="908" spans="10:11" x14ac:dyDescent="0.3">
      <c r="J908" s="10">
        <f>[1]FINAL!B908</f>
        <v>0</v>
      </c>
      <c r="K908">
        <f>[1]FINAL!A908</f>
        <v>0</v>
      </c>
    </row>
    <row r="909" spans="10:11" x14ac:dyDescent="0.3">
      <c r="J909" s="10">
        <f>[1]FINAL!B909</f>
        <v>0</v>
      </c>
      <c r="K909">
        <f>[1]FINAL!A909</f>
        <v>0</v>
      </c>
    </row>
    <row r="910" spans="10:11" x14ac:dyDescent="0.3">
      <c r="J910" s="10">
        <f>[1]FINAL!B910</f>
        <v>0</v>
      </c>
      <c r="K910">
        <f>[1]FINAL!A910</f>
        <v>0</v>
      </c>
    </row>
    <row r="911" spans="10:11" x14ac:dyDescent="0.3">
      <c r="J911" s="10">
        <f>[1]FINAL!B911</f>
        <v>0</v>
      </c>
      <c r="K911">
        <f>[1]FINAL!A911</f>
        <v>0</v>
      </c>
    </row>
    <row r="912" spans="10:11" x14ac:dyDescent="0.3">
      <c r="J912" s="10">
        <f>[1]FINAL!B912</f>
        <v>0</v>
      </c>
      <c r="K912">
        <f>[1]FINAL!A912</f>
        <v>0</v>
      </c>
    </row>
    <row r="913" spans="10:11" x14ac:dyDescent="0.3">
      <c r="J913" s="10">
        <f>[1]FINAL!B913</f>
        <v>0</v>
      </c>
      <c r="K913">
        <f>[1]FINAL!A913</f>
        <v>0</v>
      </c>
    </row>
    <row r="914" spans="10:11" x14ac:dyDescent="0.3">
      <c r="J914" s="10">
        <f>[1]FINAL!B914</f>
        <v>0</v>
      </c>
      <c r="K914">
        <f>[1]FINAL!A914</f>
        <v>0</v>
      </c>
    </row>
    <row r="915" spans="10:11" x14ac:dyDescent="0.3">
      <c r="J915" s="10">
        <f>[1]FINAL!B915</f>
        <v>0</v>
      </c>
      <c r="K915">
        <f>[1]FINAL!A915</f>
        <v>0</v>
      </c>
    </row>
    <row r="916" spans="10:11" x14ac:dyDescent="0.3">
      <c r="J916" s="10">
        <f>[1]FINAL!B916</f>
        <v>0</v>
      </c>
      <c r="K916">
        <f>[1]FINAL!A916</f>
        <v>0</v>
      </c>
    </row>
    <row r="917" spans="10:11" x14ac:dyDescent="0.3">
      <c r="J917" s="10">
        <f>[1]FINAL!B917</f>
        <v>0</v>
      </c>
      <c r="K917">
        <f>[1]FINAL!A917</f>
        <v>0</v>
      </c>
    </row>
    <row r="918" spans="10:11" x14ac:dyDescent="0.3">
      <c r="J918" s="10">
        <f>[1]FINAL!B918</f>
        <v>0</v>
      </c>
      <c r="K918">
        <f>[1]FINAL!A918</f>
        <v>0</v>
      </c>
    </row>
    <row r="919" spans="10:11" x14ac:dyDescent="0.3">
      <c r="J919" s="10">
        <f>[1]FINAL!B919</f>
        <v>0</v>
      </c>
      <c r="K919">
        <f>[1]FINAL!A919</f>
        <v>0</v>
      </c>
    </row>
    <row r="920" spans="10:11" x14ac:dyDescent="0.3">
      <c r="J920" s="10">
        <f>[1]FINAL!B920</f>
        <v>0</v>
      </c>
      <c r="K920">
        <f>[1]FINAL!A920</f>
        <v>0</v>
      </c>
    </row>
    <row r="921" spans="10:11" x14ac:dyDescent="0.3">
      <c r="J921" s="10">
        <f>[1]FINAL!B921</f>
        <v>0</v>
      </c>
      <c r="K921">
        <f>[1]FINAL!A921</f>
        <v>0</v>
      </c>
    </row>
    <row r="922" spans="10:11" x14ac:dyDescent="0.3">
      <c r="J922" s="10">
        <f>[1]FINAL!B922</f>
        <v>0</v>
      </c>
      <c r="K922">
        <f>[1]FINAL!A922</f>
        <v>0</v>
      </c>
    </row>
    <row r="923" spans="10:11" x14ac:dyDescent="0.3">
      <c r="J923" s="10">
        <f>[1]FINAL!B923</f>
        <v>0</v>
      </c>
      <c r="K923">
        <f>[1]FINAL!A923</f>
        <v>0</v>
      </c>
    </row>
    <row r="924" spans="10:11" x14ac:dyDescent="0.3">
      <c r="J924" s="10">
        <f>[1]FINAL!B924</f>
        <v>0</v>
      </c>
      <c r="K924">
        <f>[1]FINAL!A924</f>
        <v>0</v>
      </c>
    </row>
    <row r="925" spans="10:11" x14ac:dyDescent="0.3">
      <c r="J925" s="10">
        <f>[1]FINAL!B925</f>
        <v>0</v>
      </c>
      <c r="K925">
        <f>[1]FINAL!A925</f>
        <v>0</v>
      </c>
    </row>
    <row r="926" spans="10:11" x14ac:dyDescent="0.3">
      <c r="J926" s="10">
        <f>[1]FINAL!B926</f>
        <v>0</v>
      </c>
      <c r="K926">
        <f>[1]FINAL!A926</f>
        <v>0</v>
      </c>
    </row>
    <row r="927" spans="10:11" x14ac:dyDescent="0.3">
      <c r="J927" s="10">
        <f>[1]FINAL!B927</f>
        <v>0</v>
      </c>
      <c r="K927">
        <f>[1]FINAL!A927</f>
        <v>0</v>
      </c>
    </row>
    <row r="928" spans="10:11" x14ac:dyDescent="0.3">
      <c r="J928" s="10">
        <f>[1]FINAL!B928</f>
        <v>0</v>
      </c>
      <c r="K928">
        <f>[1]FINAL!A928</f>
        <v>0</v>
      </c>
    </row>
    <row r="929" spans="10:11" x14ac:dyDescent="0.3">
      <c r="J929" s="10">
        <f>[1]FINAL!B929</f>
        <v>0</v>
      </c>
      <c r="K929">
        <f>[1]FINAL!A929</f>
        <v>0</v>
      </c>
    </row>
    <row r="930" spans="10:11" x14ac:dyDescent="0.3">
      <c r="J930" s="10">
        <f>[1]FINAL!B930</f>
        <v>0</v>
      </c>
      <c r="K930">
        <f>[1]FINAL!A930</f>
        <v>0</v>
      </c>
    </row>
    <row r="931" spans="10:11" x14ac:dyDescent="0.3">
      <c r="J931" s="10">
        <f>[1]FINAL!B931</f>
        <v>0</v>
      </c>
      <c r="K931">
        <f>[1]FINAL!A931</f>
        <v>0</v>
      </c>
    </row>
    <row r="932" spans="10:11" x14ac:dyDescent="0.3">
      <c r="J932" s="10">
        <f>[1]FINAL!B932</f>
        <v>0</v>
      </c>
      <c r="K932">
        <f>[1]FINAL!A932</f>
        <v>0</v>
      </c>
    </row>
    <row r="933" spans="10:11" x14ac:dyDescent="0.3">
      <c r="J933" s="10">
        <f>[1]FINAL!B933</f>
        <v>0</v>
      </c>
      <c r="K933">
        <f>[1]FINAL!A933</f>
        <v>0</v>
      </c>
    </row>
    <row r="934" spans="10:11" x14ac:dyDescent="0.3">
      <c r="J934" s="10">
        <f>[1]FINAL!B934</f>
        <v>0</v>
      </c>
      <c r="K934">
        <f>[1]FINAL!A934</f>
        <v>0</v>
      </c>
    </row>
    <row r="935" spans="10:11" x14ac:dyDescent="0.3">
      <c r="J935" s="10">
        <f>[1]FINAL!B935</f>
        <v>0</v>
      </c>
      <c r="K935">
        <f>[1]FINAL!A935</f>
        <v>0</v>
      </c>
    </row>
    <row r="936" spans="10:11" x14ac:dyDescent="0.3">
      <c r="J936" s="10">
        <f>[1]FINAL!B936</f>
        <v>0</v>
      </c>
      <c r="K936">
        <f>[1]FINAL!A936</f>
        <v>0</v>
      </c>
    </row>
    <row r="937" spans="10:11" x14ac:dyDescent="0.3">
      <c r="J937" s="10">
        <f>[1]FINAL!B937</f>
        <v>0</v>
      </c>
      <c r="K937">
        <f>[1]FINAL!A937</f>
        <v>0</v>
      </c>
    </row>
    <row r="938" spans="10:11" x14ac:dyDescent="0.3">
      <c r="J938" s="10">
        <f>[1]FINAL!B938</f>
        <v>0</v>
      </c>
      <c r="K938">
        <f>[1]FINAL!A938</f>
        <v>0</v>
      </c>
    </row>
    <row r="939" spans="10:11" x14ac:dyDescent="0.3">
      <c r="J939" s="10">
        <f>[1]FINAL!B939</f>
        <v>0</v>
      </c>
      <c r="K939">
        <f>[1]FINAL!A939</f>
        <v>0</v>
      </c>
    </row>
    <row r="940" spans="10:11" x14ac:dyDescent="0.3">
      <c r="J940" s="10">
        <f>[1]FINAL!B940</f>
        <v>0</v>
      </c>
      <c r="K940">
        <f>[1]FINAL!A940</f>
        <v>0</v>
      </c>
    </row>
    <row r="941" spans="10:11" x14ac:dyDescent="0.3">
      <c r="J941" s="10">
        <f>[1]FINAL!B941</f>
        <v>0</v>
      </c>
      <c r="K941">
        <f>[1]FINAL!A941</f>
        <v>0</v>
      </c>
    </row>
    <row r="942" spans="10:11" x14ac:dyDescent="0.3">
      <c r="J942" s="10">
        <f>[1]FINAL!B942</f>
        <v>0</v>
      </c>
      <c r="K942">
        <f>[1]FINAL!A942</f>
        <v>0</v>
      </c>
    </row>
    <row r="943" spans="10:11" x14ac:dyDescent="0.3">
      <c r="J943" s="10">
        <f>[1]FINAL!B943</f>
        <v>0</v>
      </c>
      <c r="K943">
        <f>[1]FINAL!A943</f>
        <v>0</v>
      </c>
    </row>
    <row r="944" spans="10:11" x14ac:dyDescent="0.3">
      <c r="J944" s="10">
        <f>[1]FINAL!B944</f>
        <v>0</v>
      </c>
      <c r="K944">
        <f>[1]FINAL!A944</f>
        <v>0</v>
      </c>
    </row>
    <row r="945" spans="10:11" x14ac:dyDescent="0.3">
      <c r="J945" s="10">
        <f>[1]FINAL!B945</f>
        <v>0</v>
      </c>
      <c r="K945">
        <f>[1]FINAL!A945</f>
        <v>0</v>
      </c>
    </row>
    <row r="946" spans="10:11" x14ac:dyDescent="0.3">
      <c r="J946" s="10">
        <f>[1]FINAL!B946</f>
        <v>0</v>
      </c>
      <c r="K946">
        <f>[1]FINAL!A946</f>
        <v>0</v>
      </c>
    </row>
    <row r="947" spans="10:11" x14ac:dyDescent="0.3">
      <c r="J947" s="10">
        <f>[1]FINAL!B947</f>
        <v>0</v>
      </c>
      <c r="K947">
        <f>[1]FINAL!A947</f>
        <v>0</v>
      </c>
    </row>
    <row r="948" spans="10:11" x14ac:dyDescent="0.3">
      <c r="J948" s="10">
        <f>[1]FINAL!B948</f>
        <v>0</v>
      </c>
      <c r="K948">
        <f>[1]FINAL!A948</f>
        <v>0</v>
      </c>
    </row>
    <row r="949" spans="10:11" x14ac:dyDescent="0.3">
      <c r="J949" s="10">
        <f>[1]FINAL!B949</f>
        <v>0</v>
      </c>
      <c r="K949">
        <f>[1]FINAL!A949</f>
        <v>0</v>
      </c>
    </row>
    <row r="950" spans="10:11" x14ac:dyDescent="0.3">
      <c r="J950" s="10">
        <f>[1]FINAL!B950</f>
        <v>0</v>
      </c>
      <c r="K950">
        <f>[1]FINAL!A950</f>
        <v>0</v>
      </c>
    </row>
    <row r="951" spans="10:11" x14ac:dyDescent="0.3">
      <c r="J951" s="10">
        <f>[1]FINAL!B951</f>
        <v>0</v>
      </c>
      <c r="K951">
        <f>[1]FINAL!A951</f>
        <v>0</v>
      </c>
    </row>
    <row r="952" spans="10:11" x14ac:dyDescent="0.3">
      <c r="J952" s="10">
        <f>[1]FINAL!B952</f>
        <v>0</v>
      </c>
      <c r="K952">
        <f>[1]FINAL!A952</f>
        <v>0</v>
      </c>
    </row>
    <row r="953" spans="10:11" x14ac:dyDescent="0.3">
      <c r="J953" s="10">
        <f>[1]FINAL!B953</f>
        <v>0</v>
      </c>
      <c r="K953">
        <f>[1]FINAL!A953</f>
        <v>0</v>
      </c>
    </row>
    <row r="954" spans="10:11" x14ac:dyDescent="0.3">
      <c r="J954" s="10">
        <f>[1]FINAL!B954</f>
        <v>0</v>
      </c>
      <c r="K954">
        <f>[1]FINAL!A954</f>
        <v>0</v>
      </c>
    </row>
    <row r="955" spans="10:11" x14ac:dyDescent="0.3">
      <c r="J955" s="10">
        <f>[1]FINAL!B955</f>
        <v>0</v>
      </c>
      <c r="K955">
        <f>[1]FINAL!A955</f>
        <v>0</v>
      </c>
    </row>
    <row r="956" spans="10:11" x14ac:dyDescent="0.3">
      <c r="J956" s="10">
        <f>[1]FINAL!B956</f>
        <v>0</v>
      </c>
      <c r="K956">
        <f>[1]FINAL!A956</f>
        <v>0</v>
      </c>
    </row>
    <row r="957" spans="10:11" x14ac:dyDescent="0.3">
      <c r="J957" s="10">
        <f>[1]FINAL!B957</f>
        <v>0</v>
      </c>
      <c r="K957">
        <f>[1]FINAL!A957</f>
        <v>0</v>
      </c>
    </row>
    <row r="958" spans="10:11" x14ac:dyDescent="0.3">
      <c r="J958" s="10">
        <f>[1]FINAL!B958</f>
        <v>0</v>
      </c>
      <c r="K958">
        <f>[1]FINAL!A958</f>
        <v>0</v>
      </c>
    </row>
    <row r="959" spans="10:11" x14ac:dyDescent="0.3">
      <c r="J959" s="10">
        <f>[1]FINAL!B959</f>
        <v>0</v>
      </c>
      <c r="K959">
        <f>[1]FINAL!A959</f>
        <v>0</v>
      </c>
    </row>
    <row r="960" spans="10:11" x14ac:dyDescent="0.3">
      <c r="J960" s="10">
        <f>[1]FINAL!B960</f>
        <v>0</v>
      </c>
      <c r="K960">
        <f>[1]FINAL!A960</f>
        <v>0</v>
      </c>
    </row>
    <row r="961" spans="10:11" x14ac:dyDescent="0.3">
      <c r="J961" s="10">
        <f>[1]FINAL!B961</f>
        <v>0</v>
      </c>
      <c r="K961">
        <f>[1]FINAL!A961</f>
        <v>0</v>
      </c>
    </row>
    <row r="962" spans="10:11" x14ac:dyDescent="0.3">
      <c r="J962" s="10">
        <f>[1]FINAL!B962</f>
        <v>0</v>
      </c>
      <c r="K962">
        <f>[1]FINAL!A962</f>
        <v>0</v>
      </c>
    </row>
    <row r="963" spans="10:11" x14ac:dyDescent="0.3">
      <c r="J963" s="10">
        <f>[1]FINAL!B963</f>
        <v>0</v>
      </c>
      <c r="K963">
        <f>[1]FINAL!A963</f>
        <v>0</v>
      </c>
    </row>
    <row r="964" spans="10:11" x14ac:dyDescent="0.3">
      <c r="J964" s="10">
        <f>[1]FINAL!B964</f>
        <v>0</v>
      </c>
      <c r="K964">
        <f>[1]FINAL!A964</f>
        <v>0</v>
      </c>
    </row>
    <row r="965" spans="10:11" x14ac:dyDescent="0.3">
      <c r="J965" s="10">
        <f>[1]FINAL!B965</f>
        <v>0</v>
      </c>
      <c r="K965">
        <f>[1]FINAL!A965</f>
        <v>0</v>
      </c>
    </row>
    <row r="966" spans="10:11" x14ac:dyDescent="0.3">
      <c r="J966" s="10">
        <f>[1]FINAL!B966</f>
        <v>0</v>
      </c>
      <c r="K966">
        <f>[1]FINAL!A966</f>
        <v>0</v>
      </c>
    </row>
    <row r="967" spans="10:11" x14ac:dyDescent="0.3">
      <c r="J967" s="10">
        <f>[1]FINAL!B967</f>
        <v>0</v>
      </c>
      <c r="K967">
        <f>[1]FINAL!A967</f>
        <v>0</v>
      </c>
    </row>
    <row r="968" spans="10:11" x14ac:dyDescent="0.3">
      <c r="J968" s="10">
        <f>[1]FINAL!B968</f>
        <v>0</v>
      </c>
      <c r="K968">
        <f>[1]FINAL!A968</f>
        <v>0</v>
      </c>
    </row>
    <row r="969" spans="10:11" x14ac:dyDescent="0.3">
      <c r="J969" s="10">
        <f>[1]FINAL!B969</f>
        <v>0</v>
      </c>
      <c r="K969">
        <f>[1]FINAL!A969</f>
        <v>0</v>
      </c>
    </row>
    <row r="970" spans="10:11" x14ac:dyDescent="0.3">
      <c r="J970" s="10">
        <f>[1]FINAL!B970</f>
        <v>0</v>
      </c>
      <c r="K970">
        <f>[1]FINAL!A970</f>
        <v>0</v>
      </c>
    </row>
    <row r="971" spans="10:11" x14ac:dyDescent="0.3">
      <c r="J971" s="10">
        <f>[1]FINAL!B971</f>
        <v>0</v>
      </c>
      <c r="K971">
        <f>[1]FINAL!A971</f>
        <v>0</v>
      </c>
    </row>
    <row r="972" spans="10:11" x14ac:dyDescent="0.3">
      <c r="J972" s="10">
        <f>[1]FINAL!B972</f>
        <v>0</v>
      </c>
      <c r="K972">
        <f>[1]FINAL!A972</f>
        <v>0</v>
      </c>
    </row>
    <row r="973" spans="10:11" x14ac:dyDescent="0.3">
      <c r="J973" s="10">
        <f>[1]FINAL!B973</f>
        <v>0</v>
      </c>
      <c r="K973">
        <f>[1]FINAL!A973</f>
        <v>0</v>
      </c>
    </row>
    <row r="974" spans="10:11" x14ac:dyDescent="0.3">
      <c r="J974" s="10">
        <f>[1]FINAL!B974</f>
        <v>0</v>
      </c>
      <c r="K974">
        <f>[1]FINAL!A974</f>
        <v>0</v>
      </c>
    </row>
    <row r="975" spans="10:11" x14ac:dyDescent="0.3">
      <c r="J975" s="10">
        <f>[1]FINAL!B975</f>
        <v>0</v>
      </c>
      <c r="K975">
        <f>[1]FINAL!A975</f>
        <v>0</v>
      </c>
    </row>
    <row r="976" spans="10:11" x14ac:dyDescent="0.3">
      <c r="J976" s="10">
        <f>[1]FINAL!B976</f>
        <v>0</v>
      </c>
      <c r="K976">
        <f>[1]FINAL!A976</f>
        <v>0</v>
      </c>
    </row>
    <row r="977" spans="10:11" x14ac:dyDescent="0.3">
      <c r="J977" s="10">
        <f>[1]FINAL!B977</f>
        <v>0</v>
      </c>
      <c r="K977">
        <f>[1]FINAL!A977</f>
        <v>0</v>
      </c>
    </row>
    <row r="978" spans="10:11" x14ac:dyDescent="0.3">
      <c r="J978" s="10">
        <f>[1]FINAL!B978</f>
        <v>0</v>
      </c>
      <c r="K978">
        <f>[1]FINAL!A978</f>
        <v>0</v>
      </c>
    </row>
    <row r="979" spans="10:11" x14ac:dyDescent="0.3">
      <c r="J979" s="10">
        <f>[1]FINAL!B979</f>
        <v>0</v>
      </c>
      <c r="K979">
        <f>[1]FINAL!A979</f>
        <v>0</v>
      </c>
    </row>
    <row r="980" spans="10:11" x14ac:dyDescent="0.3">
      <c r="J980" s="10">
        <f>[1]FINAL!B980</f>
        <v>0</v>
      </c>
      <c r="K980">
        <f>[1]FINAL!A980</f>
        <v>0</v>
      </c>
    </row>
    <row r="981" spans="10:11" x14ac:dyDescent="0.3">
      <c r="J981" s="10">
        <f>[1]FINAL!B981</f>
        <v>0</v>
      </c>
      <c r="K981">
        <f>[1]FINAL!A981</f>
        <v>0</v>
      </c>
    </row>
    <row r="982" spans="10:11" x14ac:dyDescent="0.3">
      <c r="J982" s="10">
        <f>[1]FINAL!B982</f>
        <v>0</v>
      </c>
      <c r="K982">
        <f>[1]FINAL!A982</f>
        <v>0</v>
      </c>
    </row>
    <row r="983" spans="10:11" x14ac:dyDescent="0.3">
      <c r="J983" s="10">
        <f>[1]FINAL!B983</f>
        <v>0</v>
      </c>
      <c r="K983">
        <f>[1]FINAL!A983</f>
        <v>0</v>
      </c>
    </row>
    <row r="984" spans="10:11" x14ac:dyDescent="0.3">
      <c r="J984" s="10">
        <f>[1]FINAL!B984</f>
        <v>0</v>
      </c>
      <c r="K984">
        <f>[1]FINAL!A984</f>
        <v>0</v>
      </c>
    </row>
    <row r="985" spans="10:11" x14ac:dyDescent="0.3">
      <c r="J985" s="10">
        <f>[1]FINAL!B985</f>
        <v>0</v>
      </c>
      <c r="K985">
        <f>[1]FINAL!A985</f>
        <v>0</v>
      </c>
    </row>
    <row r="986" spans="10:11" x14ac:dyDescent="0.3">
      <c r="J986" s="10">
        <f>[1]FINAL!B986</f>
        <v>0</v>
      </c>
      <c r="K986">
        <f>[1]FINAL!A986</f>
        <v>0</v>
      </c>
    </row>
    <row r="987" spans="10:11" x14ac:dyDescent="0.3">
      <c r="J987" s="10">
        <f>[1]FINAL!B987</f>
        <v>0</v>
      </c>
      <c r="K987">
        <f>[1]FINAL!A987</f>
        <v>0</v>
      </c>
    </row>
    <row r="988" spans="10:11" x14ac:dyDescent="0.3">
      <c r="J988" s="10">
        <f>[1]FINAL!B988</f>
        <v>0</v>
      </c>
      <c r="K988">
        <f>[1]FINAL!A988</f>
        <v>0</v>
      </c>
    </row>
    <row r="989" spans="10:11" x14ac:dyDescent="0.3">
      <c r="J989" s="10">
        <f>[1]FINAL!B989</f>
        <v>0</v>
      </c>
      <c r="K989">
        <f>[1]FINAL!A989</f>
        <v>0</v>
      </c>
    </row>
    <row r="990" spans="10:11" x14ac:dyDescent="0.3">
      <c r="J990" s="10">
        <f>[1]FINAL!B990</f>
        <v>0</v>
      </c>
      <c r="K990">
        <f>[1]FINAL!A990</f>
        <v>0</v>
      </c>
    </row>
    <row r="991" spans="10:11" x14ac:dyDescent="0.3">
      <c r="J991" s="10">
        <f>[1]FINAL!B991</f>
        <v>0</v>
      </c>
      <c r="K991">
        <f>[1]FINAL!A991</f>
        <v>0</v>
      </c>
    </row>
    <row r="992" spans="10:11" x14ac:dyDescent="0.3">
      <c r="J992" s="10">
        <f>[1]FINAL!B992</f>
        <v>0</v>
      </c>
      <c r="K992">
        <f>[1]FINAL!A992</f>
        <v>0</v>
      </c>
    </row>
    <row r="993" spans="10:11" x14ac:dyDescent="0.3">
      <c r="J993" s="10">
        <f>[1]FINAL!B993</f>
        <v>0</v>
      </c>
      <c r="K993">
        <f>[1]FINAL!A993</f>
        <v>0</v>
      </c>
    </row>
    <row r="994" spans="10:11" x14ac:dyDescent="0.3">
      <c r="J994" s="10">
        <f>[1]FINAL!B994</f>
        <v>0</v>
      </c>
      <c r="K994">
        <f>[1]FINAL!A994</f>
        <v>0</v>
      </c>
    </row>
    <row r="995" spans="10:11" x14ac:dyDescent="0.3">
      <c r="J995" s="10">
        <f>[1]FINAL!B995</f>
        <v>0</v>
      </c>
      <c r="K995">
        <f>[1]FINAL!A995</f>
        <v>0</v>
      </c>
    </row>
    <row r="996" spans="10:11" x14ac:dyDescent="0.3">
      <c r="J996" s="10">
        <f>[1]FINAL!B996</f>
        <v>0</v>
      </c>
      <c r="K996">
        <f>[1]FINAL!A996</f>
        <v>0</v>
      </c>
    </row>
    <row r="997" spans="10:11" x14ac:dyDescent="0.3">
      <c r="J997" s="10">
        <f>[1]FINAL!B997</f>
        <v>0</v>
      </c>
      <c r="K997">
        <f>[1]FINAL!A997</f>
        <v>0</v>
      </c>
    </row>
    <row r="998" spans="10:11" x14ac:dyDescent="0.3">
      <c r="J998" s="10">
        <f>[1]FINAL!B998</f>
        <v>0</v>
      </c>
      <c r="K998">
        <f>[1]FINAL!A998</f>
        <v>0</v>
      </c>
    </row>
    <row r="999" spans="10:11" x14ac:dyDescent="0.3">
      <c r="J999" s="10">
        <f>[1]FINAL!B999</f>
        <v>0</v>
      </c>
      <c r="K999">
        <f>[1]FINAL!A999</f>
        <v>0</v>
      </c>
    </row>
    <row r="1000" spans="10:11" x14ac:dyDescent="0.3">
      <c r="J1000" s="10">
        <f>[1]FINAL!B1000</f>
        <v>0</v>
      </c>
      <c r="K1000">
        <f>[1]FINAL!A1000</f>
        <v>0</v>
      </c>
    </row>
    <row r="1001" spans="10:11" x14ac:dyDescent="0.3">
      <c r="J1001" s="10">
        <f>[1]FINAL!B1001</f>
        <v>0</v>
      </c>
      <c r="K1001">
        <f>[1]FINAL!A1001</f>
        <v>0</v>
      </c>
    </row>
    <row r="1002" spans="10:11" x14ac:dyDescent="0.3">
      <c r="J1002" s="10">
        <f>[1]FINAL!B1002</f>
        <v>0</v>
      </c>
      <c r="K1002">
        <f>[1]FINAL!A1002</f>
        <v>0</v>
      </c>
    </row>
    <row r="1003" spans="10:11" x14ac:dyDescent="0.3">
      <c r="J1003" s="10">
        <f>[1]FINAL!B1003</f>
        <v>0</v>
      </c>
      <c r="K1003">
        <f>[1]FINAL!A1003</f>
        <v>0</v>
      </c>
    </row>
    <row r="1004" spans="10:11" x14ac:dyDescent="0.3">
      <c r="J1004" s="10">
        <f>[1]FINAL!B1004</f>
        <v>0</v>
      </c>
      <c r="K1004">
        <f>[1]FINAL!A1004</f>
        <v>0</v>
      </c>
    </row>
    <row r="1005" spans="10:11" x14ac:dyDescent="0.3">
      <c r="J1005" s="10">
        <f>[1]FINAL!B1005</f>
        <v>0</v>
      </c>
      <c r="K1005">
        <f>[1]FINAL!A1005</f>
        <v>0</v>
      </c>
    </row>
    <row r="1006" spans="10:11" x14ac:dyDescent="0.3">
      <c r="J1006" s="10">
        <f>[1]FINAL!B1006</f>
        <v>0</v>
      </c>
      <c r="K1006">
        <f>[1]FINAL!A1006</f>
        <v>0</v>
      </c>
    </row>
    <row r="1007" spans="10:11" x14ac:dyDescent="0.3">
      <c r="J1007" s="10">
        <f>[1]FINAL!B1007</f>
        <v>0</v>
      </c>
      <c r="K1007">
        <f>[1]FINAL!A1007</f>
        <v>0</v>
      </c>
    </row>
    <row r="1008" spans="10:11" x14ac:dyDescent="0.3">
      <c r="J1008" s="10">
        <f>[1]FINAL!B1008</f>
        <v>0</v>
      </c>
      <c r="K1008">
        <f>[1]FINAL!A1008</f>
        <v>0</v>
      </c>
    </row>
    <row r="1009" spans="10:11" x14ac:dyDescent="0.3">
      <c r="J1009" s="10">
        <f>[1]FINAL!B1009</f>
        <v>0</v>
      </c>
      <c r="K1009">
        <f>[1]FINAL!A1009</f>
        <v>0</v>
      </c>
    </row>
    <row r="1010" spans="10:11" x14ac:dyDescent="0.3">
      <c r="J1010" s="10">
        <f>[1]FINAL!B1010</f>
        <v>0</v>
      </c>
      <c r="K1010">
        <f>[1]FINAL!A1010</f>
        <v>0</v>
      </c>
    </row>
    <row r="1011" spans="10:11" x14ac:dyDescent="0.3">
      <c r="J1011" s="10">
        <f>[1]FINAL!B1011</f>
        <v>0</v>
      </c>
      <c r="K1011">
        <f>[1]FINAL!A1011</f>
        <v>0</v>
      </c>
    </row>
    <row r="1012" spans="10:11" x14ac:dyDescent="0.3">
      <c r="J1012" s="10">
        <f>[1]FINAL!B1012</f>
        <v>0</v>
      </c>
      <c r="K1012">
        <f>[1]FINAL!A1012</f>
        <v>0</v>
      </c>
    </row>
    <row r="1013" spans="10:11" x14ac:dyDescent="0.3">
      <c r="J1013" s="10">
        <f>[1]FINAL!B1013</f>
        <v>0</v>
      </c>
      <c r="K1013">
        <f>[1]FINAL!A1013</f>
        <v>0</v>
      </c>
    </row>
    <row r="1014" spans="10:11" x14ac:dyDescent="0.3">
      <c r="J1014" s="10">
        <f>[1]FINAL!B1014</f>
        <v>0</v>
      </c>
      <c r="K1014">
        <f>[1]FINAL!A1014</f>
        <v>0</v>
      </c>
    </row>
    <row r="1015" spans="10:11" x14ac:dyDescent="0.3">
      <c r="J1015" s="10">
        <f>[1]FINAL!B1015</f>
        <v>0</v>
      </c>
      <c r="K1015">
        <f>[1]FINAL!A1015</f>
        <v>0</v>
      </c>
    </row>
    <row r="1016" spans="10:11" x14ac:dyDescent="0.3">
      <c r="J1016" s="10">
        <f>[1]FINAL!B1016</f>
        <v>0</v>
      </c>
      <c r="K1016">
        <f>[1]FINAL!A1016</f>
        <v>0</v>
      </c>
    </row>
    <row r="1017" spans="10:11" x14ac:dyDescent="0.3">
      <c r="J1017" s="10">
        <f>[1]FINAL!B1017</f>
        <v>0</v>
      </c>
      <c r="K1017">
        <f>[1]FINAL!A1017</f>
        <v>0</v>
      </c>
    </row>
    <row r="1018" spans="10:11" x14ac:dyDescent="0.3">
      <c r="J1018" s="10">
        <f>[1]FINAL!B1018</f>
        <v>0</v>
      </c>
      <c r="K1018">
        <f>[1]FINAL!A1018</f>
        <v>0</v>
      </c>
    </row>
    <row r="1019" spans="10:11" x14ac:dyDescent="0.3">
      <c r="J1019" s="10">
        <f>[1]FINAL!B1019</f>
        <v>0</v>
      </c>
      <c r="K1019">
        <f>[1]FINAL!A1019</f>
        <v>0</v>
      </c>
    </row>
    <row r="1020" spans="10:11" x14ac:dyDescent="0.3">
      <c r="J1020" s="10">
        <f>[1]FINAL!B1020</f>
        <v>0</v>
      </c>
      <c r="K1020">
        <f>[1]FINAL!A1020</f>
        <v>0</v>
      </c>
    </row>
    <row r="1021" spans="10:11" x14ac:dyDescent="0.3">
      <c r="J1021" s="10">
        <f>[1]FINAL!B1021</f>
        <v>0</v>
      </c>
      <c r="K1021">
        <f>[1]FINAL!A1021</f>
        <v>0</v>
      </c>
    </row>
    <row r="1022" spans="10:11" x14ac:dyDescent="0.3">
      <c r="J1022" s="10">
        <f>[1]FINAL!B1022</f>
        <v>0</v>
      </c>
      <c r="K1022">
        <f>[1]FINAL!A1022</f>
        <v>0</v>
      </c>
    </row>
    <row r="1023" spans="10:11" x14ac:dyDescent="0.3">
      <c r="J1023" s="10">
        <f>[1]FINAL!B1023</f>
        <v>0</v>
      </c>
      <c r="K1023">
        <f>[1]FINAL!A1023</f>
        <v>0</v>
      </c>
    </row>
    <row r="1024" spans="10:11" x14ac:dyDescent="0.3">
      <c r="J1024" s="10">
        <f>[1]FINAL!B1024</f>
        <v>0</v>
      </c>
      <c r="K1024">
        <f>[1]FINAL!A1024</f>
        <v>0</v>
      </c>
    </row>
    <row r="1025" spans="10:11" x14ac:dyDescent="0.3">
      <c r="J1025" s="10">
        <f>[1]FINAL!B1025</f>
        <v>0</v>
      </c>
      <c r="K1025">
        <f>[1]FINAL!A1025</f>
        <v>0</v>
      </c>
    </row>
    <row r="1026" spans="10:11" x14ac:dyDescent="0.3">
      <c r="J1026" s="10">
        <f>[1]FINAL!B1026</f>
        <v>0</v>
      </c>
      <c r="K1026">
        <f>[1]FINAL!A1026</f>
        <v>0</v>
      </c>
    </row>
    <row r="1027" spans="10:11" x14ac:dyDescent="0.3">
      <c r="J1027" s="10">
        <f>[1]FINAL!B1027</f>
        <v>0</v>
      </c>
      <c r="K1027">
        <f>[1]FINAL!A1027</f>
        <v>0</v>
      </c>
    </row>
    <row r="1028" spans="10:11" x14ac:dyDescent="0.3">
      <c r="J1028" s="10">
        <f>[1]FINAL!B1028</f>
        <v>0</v>
      </c>
      <c r="K1028">
        <f>[1]FINAL!A1028</f>
        <v>0</v>
      </c>
    </row>
    <row r="1029" spans="10:11" x14ac:dyDescent="0.3">
      <c r="J1029" s="10">
        <f>[1]FINAL!B1029</f>
        <v>0</v>
      </c>
      <c r="K1029">
        <f>[1]FINAL!A1029</f>
        <v>0</v>
      </c>
    </row>
    <row r="1030" spans="10:11" x14ac:dyDescent="0.3">
      <c r="J1030" s="10">
        <f>[1]FINAL!B1030</f>
        <v>0</v>
      </c>
      <c r="K1030">
        <f>[1]FINAL!A1030</f>
        <v>0</v>
      </c>
    </row>
    <row r="1031" spans="10:11" x14ac:dyDescent="0.3">
      <c r="J1031" s="10">
        <f>[1]FINAL!B1031</f>
        <v>0</v>
      </c>
      <c r="K1031">
        <f>[1]FINAL!A1031</f>
        <v>0</v>
      </c>
    </row>
    <row r="1032" spans="10:11" x14ac:dyDescent="0.3">
      <c r="J1032" s="10">
        <f>[1]FINAL!B1032</f>
        <v>0</v>
      </c>
      <c r="K1032">
        <f>[1]FINAL!A1032</f>
        <v>0</v>
      </c>
    </row>
    <row r="1033" spans="10:11" x14ac:dyDescent="0.3">
      <c r="J1033" s="10">
        <f>[1]FINAL!B1033</f>
        <v>0</v>
      </c>
      <c r="K1033">
        <f>[1]FINAL!A1033</f>
        <v>0</v>
      </c>
    </row>
    <row r="1034" spans="10:11" x14ac:dyDescent="0.3">
      <c r="J1034" s="10">
        <f>[1]FINAL!B1034</f>
        <v>0</v>
      </c>
      <c r="K1034">
        <f>[1]FINAL!A1034</f>
        <v>0</v>
      </c>
    </row>
    <row r="1035" spans="10:11" x14ac:dyDescent="0.3">
      <c r="J1035" s="10">
        <f>[1]FINAL!B1035</f>
        <v>0</v>
      </c>
      <c r="K1035">
        <f>[1]FINAL!A1035</f>
        <v>0</v>
      </c>
    </row>
    <row r="1036" spans="10:11" x14ac:dyDescent="0.3">
      <c r="J1036" s="10">
        <f>[1]FINAL!B1036</f>
        <v>0</v>
      </c>
      <c r="K1036">
        <f>[1]FINAL!A1036</f>
        <v>0</v>
      </c>
    </row>
    <row r="1037" spans="10:11" x14ac:dyDescent="0.3">
      <c r="J1037" s="10">
        <f>[1]FINAL!B1037</f>
        <v>0</v>
      </c>
      <c r="K1037">
        <f>[1]FINAL!A1037</f>
        <v>0</v>
      </c>
    </row>
    <row r="1038" spans="10:11" x14ac:dyDescent="0.3">
      <c r="J1038" s="10">
        <f>[1]FINAL!B1038</f>
        <v>0</v>
      </c>
      <c r="K1038">
        <f>[1]FINAL!A1038</f>
        <v>0</v>
      </c>
    </row>
    <row r="1039" spans="10:11" x14ac:dyDescent="0.3">
      <c r="J1039" s="10">
        <f>[1]FINAL!B1039</f>
        <v>0</v>
      </c>
      <c r="K1039">
        <f>[1]FINAL!A1039</f>
        <v>0</v>
      </c>
    </row>
    <row r="1040" spans="10:11" x14ac:dyDescent="0.3">
      <c r="J1040" s="10">
        <f>[1]FINAL!B1040</f>
        <v>0</v>
      </c>
      <c r="K1040">
        <f>[1]FINAL!A1040</f>
        <v>0</v>
      </c>
    </row>
    <row r="1041" spans="10:11" x14ac:dyDescent="0.3">
      <c r="J1041" s="10">
        <f>[1]FINAL!B1041</f>
        <v>0</v>
      </c>
      <c r="K1041">
        <f>[1]FINAL!A1041</f>
        <v>0</v>
      </c>
    </row>
    <row r="1042" spans="10:11" x14ac:dyDescent="0.3">
      <c r="J1042" s="10">
        <f>[1]FINAL!B1042</f>
        <v>0</v>
      </c>
      <c r="K1042">
        <f>[1]FINAL!A1042</f>
        <v>0</v>
      </c>
    </row>
    <row r="1043" spans="10:11" x14ac:dyDescent="0.3">
      <c r="J1043" s="10">
        <f>[1]FINAL!B1043</f>
        <v>0</v>
      </c>
      <c r="K1043">
        <f>[1]FINAL!A1043</f>
        <v>0</v>
      </c>
    </row>
    <row r="1044" spans="10:11" x14ac:dyDescent="0.3">
      <c r="J1044" s="10">
        <f>[1]FINAL!B1044</f>
        <v>0</v>
      </c>
      <c r="K1044">
        <f>[1]FINAL!A1044</f>
        <v>0</v>
      </c>
    </row>
    <row r="1045" spans="10:11" x14ac:dyDescent="0.3">
      <c r="J1045" s="10">
        <f>[1]FINAL!B1045</f>
        <v>0</v>
      </c>
      <c r="K1045">
        <f>[1]FINAL!A1045</f>
        <v>0</v>
      </c>
    </row>
    <row r="1046" spans="10:11" x14ac:dyDescent="0.3">
      <c r="J1046" s="10">
        <f>[1]FINAL!B1046</f>
        <v>0</v>
      </c>
      <c r="K1046">
        <f>[1]FINAL!A1046</f>
        <v>0</v>
      </c>
    </row>
    <row r="1047" spans="10:11" x14ac:dyDescent="0.3">
      <c r="J1047" s="10">
        <f>[1]FINAL!B1047</f>
        <v>0</v>
      </c>
      <c r="K1047">
        <f>[1]FINAL!A1047</f>
        <v>0</v>
      </c>
    </row>
    <row r="1048" spans="10:11" x14ac:dyDescent="0.3">
      <c r="J1048" s="10">
        <f>[1]FINAL!B1048</f>
        <v>0</v>
      </c>
      <c r="K1048">
        <f>[1]FINAL!A1048</f>
        <v>0</v>
      </c>
    </row>
    <row r="1049" spans="10:11" x14ac:dyDescent="0.3">
      <c r="J1049" s="10">
        <f>[1]FINAL!B1049</f>
        <v>0</v>
      </c>
      <c r="K1049">
        <f>[1]FINAL!A1049</f>
        <v>0</v>
      </c>
    </row>
    <row r="1050" spans="10:11" x14ac:dyDescent="0.3">
      <c r="J1050" s="10">
        <f>[1]FINAL!B1050</f>
        <v>0</v>
      </c>
      <c r="K1050">
        <f>[1]FINAL!A1050</f>
        <v>0</v>
      </c>
    </row>
    <row r="1051" spans="10:11" x14ac:dyDescent="0.3">
      <c r="J1051" s="10">
        <f>[1]FINAL!B1051</f>
        <v>0</v>
      </c>
      <c r="K1051">
        <f>[1]FINAL!A1051</f>
        <v>0</v>
      </c>
    </row>
    <row r="1052" spans="10:11" x14ac:dyDescent="0.3">
      <c r="J1052" s="10">
        <f>[1]FINAL!B1052</f>
        <v>0</v>
      </c>
      <c r="K1052">
        <f>[1]FINAL!A1052</f>
        <v>0</v>
      </c>
    </row>
    <row r="1053" spans="10:11" x14ac:dyDescent="0.3">
      <c r="J1053" s="10">
        <f>[1]FINAL!B1053</f>
        <v>0</v>
      </c>
      <c r="K1053">
        <f>[1]FINAL!A1053</f>
        <v>0</v>
      </c>
    </row>
    <row r="1054" spans="10:11" x14ac:dyDescent="0.3">
      <c r="J1054" s="10">
        <f>[1]FINAL!B1054</f>
        <v>0</v>
      </c>
      <c r="K1054">
        <f>[1]FINAL!A1054</f>
        <v>0</v>
      </c>
    </row>
    <row r="1055" spans="10:11" x14ac:dyDescent="0.3">
      <c r="J1055" s="10">
        <f>[1]FINAL!B1055</f>
        <v>0</v>
      </c>
      <c r="K1055">
        <f>[1]FINAL!A1055</f>
        <v>0</v>
      </c>
    </row>
    <row r="1056" spans="10:11" x14ac:dyDescent="0.3">
      <c r="J1056" s="10">
        <f>[1]FINAL!B1056</f>
        <v>0</v>
      </c>
      <c r="K1056">
        <f>[1]FINAL!A1056</f>
        <v>0</v>
      </c>
    </row>
    <row r="1057" spans="10:11" x14ac:dyDescent="0.3">
      <c r="J1057" s="10">
        <f>[1]FINAL!B1057</f>
        <v>0</v>
      </c>
      <c r="K1057">
        <f>[1]FINAL!A1057</f>
        <v>0</v>
      </c>
    </row>
    <row r="1058" spans="10:11" x14ac:dyDescent="0.3">
      <c r="J1058" s="10">
        <f>[1]FINAL!B1058</f>
        <v>0</v>
      </c>
      <c r="K1058">
        <f>[1]FINAL!A1058</f>
        <v>0</v>
      </c>
    </row>
    <row r="1059" spans="10:11" x14ac:dyDescent="0.3">
      <c r="J1059" s="10">
        <f>[1]FINAL!B1059</f>
        <v>0</v>
      </c>
      <c r="K1059">
        <f>[1]FINAL!A1059</f>
        <v>0</v>
      </c>
    </row>
    <row r="1060" spans="10:11" x14ac:dyDescent="0.3">
      <c r="J1060" s="10">
        <f>[1]FINAL!B1060</f>
        <v>0</v>
      </c>
      <c r="K1060">
        <f>[1]FINAL!A1060</f>
        <v>0</v>
      </c>
    </row>
    <row r="1061" spans="10:11" x14ac:dyDescent="0.3">
      <c r="J1061" s="10">
        <f>[1]FINAL!B1061</f>
        <v>0</v>
      </c>
      <c r="K1061">
        <f>[1]FINAL!A1061</f>
        <v>0</v>
      </c>
    </row>
    <row r="1062" spans="10:11" x14ac:dyDescent="0.3">
      <c r="J1062" s="10">
        <f>[1]FINAL!B1062</f>
        <v>0</v>
      </c>
      <c r="K1062">
        <f>[1]FINAL!A1062</f>
        <v>0</v>
      </c>
    </row>
    <row r="1063" spans="10:11" x14ac:dyDescent="0.3">
      <c r="J1063" s="10">
        <f>[1]FINAL!B1063</f>
        <v>0</v>
      </c>
      <c r="K1063">
        <f>[1]FINAL!A1063</f>
        <v>0</v>
      </c>
    </row>
    <row r="1064" spans="10:11" x14ac:dyDescent="0.3">
      <c r="J1064" s="10">
        <f>[1]FINAL!B1064</f>
        <v>0</v>
      </c>
      <c r="K1064">
        <f>[1]FINAL!A1064</f>
        <v>0</v>
      </c>
    </row>
    <row r="1065" spans="10:11" x14ac:dyDescent="0.3">
      <c r="J1065" s="10">
        <f>[1]FINAL!B1065</f>
        <v>0</v>
      </c>
      <c r="K1065">
        <f>[1]FINAL!A1065</f>
        <v>0</v>
      </c>
    </row>
    <row r="1066" spans="10:11" x14ac:dyDescent="0.3">
      <c r="J1066" s="10">
        <f>[1]FINAL!B1066</f>
        <v>0</v>
      </c>
      <c r="K1066">
        <f>[1]FINAL!A1066</f>
        <v>0</v>
      </c>
    </row>
    <row r="1067" spans="10:11" x14ac:dyDescent="0.3">
      <c r="J1067" s="10">
        <f>[1]FINAL!B1067</f>
        <v>0</v>
      </c>
      <c r="K1067">
        <f>[1]FINAL!A1067</f>
        <v>0</v>
      </c>
    </row>
    <row r="1068" spans="10:11" x14ac:dyDescent="0.3">
      <c r="J1068" s="10">
        <f>[1]FINAL!B1068</f>
        <v>0</v>
      </c>
      <c r="K1068">
        <f>[1]FINAL!A1068</f>
        <v>0</v>
      </c>
    </row>
    <row r="1069" spans="10:11" x14ac:dyDescent="0.3">
      <c r="J1069" s="10">
        <f>[1]FINAL!B1069</f>
        <v>0</v>
      </c>
      <c r="K1069">
        <f>[1]FINAL!A1069</f>
        <v>0</v>
      </c>
    </row>
    <row r="1070" spans="10:11" x14ac:dyDescent="0.3">
      <c r="J1070" s="10">
        <f>[1]FINAL!B1070</f>
        <v>0</v>
      </c>
      <c r="K1070">
        <f>[1]FINAL!A1070</f>
        <v>0</v>
      </c>
    </row>
    <row r="1071" spans="10:11" x14ac:dyDescent="0.3">
      <c r="J1071" s="10">
        <f>[1]FINAL!B1071</f>
        <v>0</v>
      </c>
      <c r="K1071">
        <f>[1]FINAL!A1071</f>
        <v>0</v>
      </c>
    </row>
    <row r="1072" spans="10:11" x14ac:dyDescent="0.3">
      <c r="J1072" s="10">
        <f>[1]FINAL!B1072</f>
        <v>0</v>
      </c>
      <c r="K1072">
        <f>[1]FINAL!A1072</f>
        <v>0</v>
      </c>
    </row>
    <row r="1073" spans="10:11" x14ac:dyDescent="0.3">
      <c r="J1073" s="10">
        <f>[1]FINAL!B1073</f>
        <v>0</v>
      </c>
      <c r="K1073">
        <f>[1]FINAL!A1073</f>
        <v>0</v>
      </c>
    </row>
    <row r="1074" spans="10:11" x14ac:dyDescent="0.3">
      <c r="J1074" s="10">
        <f>[1]FINAL!B1074</f>
        <v>0</v>
      </c>
      <c r="K1074">
        <f>[1]FINAL!A1074</f>
        <v>0</v>
      </c>
    </row>
    <row r="1075" spans="10:11" x14ac:dyDescent="0.3">
      <c r="J1075" s="10">
        <f>[1]FINAL!B1075</f>
        <v>0</v>
      </c>
      <c r="K1075">
        <f>[1]FINAL!A1075</f>
        <v>0</v>
      </c>
    </row>
    <row r="1076" spans="10:11" x14ac:dyDescent="0.3">
      <c r="J1076" s="10">
        <f>[1]FINAL!B1076</f>
        <v>0</v>
      </c>
      <c r="K1076">
        <f>[1]FINAL!A1076</f>
        <v>0</v>
      </c>
    </row>
    <row r="1077" spans="10:11" x14ac:dyDescent="0.3">
      <c r="J1077" s="10">
        <f>[1]FINAL!B1077</f>
        <v>0</v>
      </c>
      <c r="K1077">
        <f>[1]FINAL!A1077</f>
        <v>0</v>
      </c>
    </row>
    <row r="1078" spans="10:11" x14ac:dyDescent="0.3">
      <c r="J1078" s="10">
        <f>[1]FINAL!B1078</f>
        <v>0</v>
      </c>
      <c r="K1078">
        <f>[1]FINAL!A1078</f>
        <v>0</v>
      </c>
    </row>
    <row r="1079" spans="10:11" x14ac:dyDescent="0.3">
      <c r="J1079" s="10">
        <f>[1]FINAL!B1079</f>
        <v>0</v>
      </c>
      <c r="K1079">
        <f>[1]FINAL!A1079</f>
        <v>0</v>
      </c>
    </row>
    <row r="1080" spans="10:11" x14ac:dyDescent="0.3">
      <c r="J1080" s="10">
        <f>[1]FINAL!B1080</f>
        <v>0</v>
      </c>
      <c r="K1080">
        <f>[1]FINAL!A1080</f>
        <v>0</v>
      </c>
    </row>
    <row r="1081" spans="10:11" x14ac:dyDescent="0.3">
      <c r="J1081" s="10">
        <f>[1]FINAL!B1081</f>
        <v>0</v>
      </c>
      <c r="K1081">
        <f>[1]FINAL!A1081</f>
        <v>0</v>
      </c>
    </row>
    <row r="1082" spans="10:11" x14ac:dyDescent="0.3">
      <c r="J1082" s="10">
        <f>[1]FINAL!B1082</f>
        <v>0</v>
      </c>
      <c r="K1082">
        <f>[1]FINAL!A1082</f>
        <v>0</v>
      </c>
    </row>
    <row r="1083" spans="10:11" x14ac:dyDescent="0.3">
      <c r="J1083" s="10">
        <f>[1]FINAL!B1083</f>
        <v>0</v>
      </c>
      <c r="K1083">
        <f>[1]FINAL!A1083</f>
        <v>0</v>
      </c>
    </row>
    <row r="1084" spans="10:11" x14ac:dyDescent="0.3">
      <c r="J1084" s="10">
        <f>[1]FINAL!B1084</f>
        <v>0</v>
      </c>
      <c r="K1084">
        <f>[1]FINAL!A1084</f>
        <v>0</v>
      </c>
    </row>
    <row r="1085" spans="10:11" x14ac:dyDescent="0.3">
      <c r="J1085" s="10">
        <f>[1]FINAL!B1085</f>
        <v>0</v>
      </c>
      <c r="K1085">
        <f>[1]FINAL!A1085</f>
        <v>0</v>
      </c>
    </row>
    <row r="1086" spans="10:11" x14ac:dyDescent="0.3">
      <c r="J1086" s="10">
        <f>[1]FINAL!B1086</f>
        <v>0</v>
      </c>
      <c r="K1086">
        <f>[1]FINAL!A1086</f>
        <v>0</v>
      </c>
    </row>
    <row r="1087" spans="10:11" x14ac:dyDescent="0.3">
      <c r="J1087" s="10">
        <f>[1]FINAL!B1087</f>
        <v>0</v>
      </c>
      <c r="K1087">
        <f>[1]FINAL!A1087</f>
        <v>0</v>
      </c>
    </row>
    <row r="1088" spans="10:11" x14ac:dyDescent="0.3">
      <c r="J1088" s="10">
        <f>[1]FINAL!B1088</f>
        <v>0</v>
      </c>
      <c r="K1088">
        <f>[1]FINAL!A1088</f>
        <v>0</v>
      </c>
    </row>
    <row r="1089" spans="10:11" x14ac:dyDescent="0.3">
      <c r="J1089" s="10">
        <f>[1]FINAL!B1089</f>
        <v>0</v>
      </c>
      <c r="K1089">
        <f>[1]FINAL!A1089</f>
        <v>0</v>
      </c>
    </row>
    <row r="1090" spans="10:11" x14ac:dyDescent="0.3">
      <c r="J1090" s="10">
        <f>[1]FINAL!B1090</f>
        <v>0</v>
      </c>
      <c r="K1090">
        <f>[1]FINAL!A1090</f>
        <v>0</v>
      </c>
    </row>
    <row r="1091" spans="10:11" x14ac:dyDescent="0.3">
      <c r="J1091" s="10">
        <f>[1]FINAL!B1091</f>
        <v>0</v>
      </c>
      <c r="K1091">
        <f>[1]FINAL!A1091</f>
        <v>0</v>
      </c>
    </row>
    <row r="1092" spans="10:11" x14ac:dyDescent="0.3">
      <c r="J1092" s="10">
        <f>[1]FINAL!B1092</f>
        <v>0</v>
      </c>
      <c r="K1092">
        <f>[1]FINAL!A1092</f>
        <v>0</v>
      </c>
    </row>
    <row r="1093" spans="10:11" x14ac:dyDescent="0.3">
      <c r="J1093" s="10">
        <f>[1]FINAL!B1093</f>
        <v>0</v>
      </c>
      <c r="K1093">
        <f>[1]FINAL!A1093</f>
        <v>0</v>
      </c>
    </row>
    <row r="1094" spans="10:11" x14ac:dyDescent="0.3">
      <c r="J1094" s="10">
        <f>[1]FINAL!B1094</f>
        <v>0</v>
      </c>
      <c r="K1094">
        <f>[1]FINAL!A1094</f>
        <v>0</v>
      </c>
    </row>
    <row r="1095" spans="10:11" x14ac:dyDescent="0.3">
      <c r="J1095" s="10">
        <f>[1]FINAL!B1095</f>
        <v>0</v>
      </c>
      <c r="K1095">
        <f>[1]FINAL!A1095</f>
        <v>0</v>
      </c>
    </row>
    <row r="1096" spans="10:11" x14ac:dyDescent="0.3">
      <c r="J1096" s="10">
        <f>[1]FINAL!B1096</f>
        <v>0</v>
      </c>
      <c r="K1096">
        <f>[1]FINAL!A1096</f>
        <v>0</v>
      </c>
    </row>
    <row r="1097" spans="10:11" x14ac:dyDescent="0.3">
      <c r="J1097" s="10">
        <f>[1]FINAL!B1097</f>
        <v>0</v>
      </c>
      <c r="K1097">
        <f>[1]FINAL!A1097</f>
        <v>0</v>
      </c>
    </row>
    <row r="1098" spans="10:11" x14ac:dyDescent="0.3">
      <c r="J1098" s="10">
        <f>[1]FINAL!B1098</f>
        <v>0</v>
      </c>
      <c r="K1098">
        <f>[1]FINAL!A1098</f>
        <v>0</v>
      </c>
    </row>
    <row r="1099" spans="10:11" x14ac:dyDescent="0.3">
      <c r="J1099" s="10">
        <f>[1]FINAL!B1099</f>
        <v>0</v>
      </c>
      <c r="K1099">
        <f>[1]FINAL!A1099</f>
        <v>0</v>
      </c>
    </row>
    <row r="1100" spans="10:11" x14ac:dyDescent="0.3">
      <c r="J1100" s="10">
        <f>[1]FINAL!B1100</f>
        <v>0</v>
      </c>
      <c r="K1100">
        <f>[1]FINAL!A1100</f>
        <v>0</v>
      </c>
    </row>
    <row r="1101" spans="10:11" x14ac:dyDescent="0.3">
      <c r="J1101" s="10">
        <f>[1]FINAL!B1101</f>
        <v>0</v>
      </c>
      <c r="K1101">
        <f>[1]FINAL!A1101</f>
        <v>0</v>
      </c>
    </row>
    <row r="1102" spans="10:11" x14ac:dyDescent="0.3">
      <c r="J1102" s="10">
        <f>[1]FINAL!B1102</f>
        <v>0</v>
      </c>
      <c r="K1102">
        <f>[1]FINAL!A1102</f>
        <v>0</v>
      </c>
    </row>
    <row r="1103" spans="10:11" x14ac:dyDescent="0.3">
      <c r="J1103" s="10">
        <f>[1]FINAL!B1103</f>
        <v>0</v>
      </c>
      <c r="K1103">
        <f>[1]FINAL!A1103</f>
        <v>0</v>
      </c>
    </row>
    <row r="1104" spans="10:11" x14ac:dyDescent="0.3">
      <c r="J1104" s="10">
        <f>[1]FINAL!B1104</f>
        <v>0</v>
      </c>
      <c r="K1104">
        <f>[1]FINAL!A1104</f>
        <v>0</v>
      </c>
    </row>
    <row r="1105" spans="10:11" x14ac:dyDescent="0.3">
      <c r="J1105" s="10">
        <f>[1]FINAL!B1105</f>
        <v>0</v>
      </c>
      <c r="K1105">
        <f>[1]FINAL!A1105</f>
        <v>0</v>
      </c>
    </row>
    <row r="1106" spans="10:11" x14ac:dyDescent="0.3">
      <c r="J1106" s="10">
        <f>[1]FINAL!B1106</f>
        <v>0</v>
      </c>
      <c r="K1106">
        <f>[1]FINAL!A1106</f>
        <v>0</v>
      </c>
    </row>
    <row r="1107" spans="10:11" x14ac:dyDescent="0.3">
      <c r="J1107" s="10">
        <f>[1]FINAL!B1107</f>
        <v>0</v>
      </c>
      <c r="K1107">
        <f>[1]FINAL!A1107</f>
        <v>0</v>
      </c>
    </row>
    <row r="1108" spans="10:11" x14ac:dyDescent="0.3">
      <c r="J1108" s="10">
        <f>[1]FINAL!B1108</f>
        <v>0</v>
      </c>
      <c r="K1108">
        <f>[1]FINAL!A1108</f>
        <v>0</v>
      </c>
    </row>
    <row r="1109" spans="10:11" x14ac:dyDescent="0.3">
      <c r="J1109" s="10">
        <f>[1]FINAL!B1109</f>
        <v>0</v>
      </c>
      <c r="K1109">
        <f>[1]FINAL!A1109</f>
        <v>0</v>
      </c>
    </row>
    <row r="1110" spans="10:11" x14ac:dyDescent="0.3">
      <c r="J1110" s="10">
        <f>[1]FINAL!B1110</f>
        <v>0</v>
      </c>
      <c r="K1110">
        <f>[1]FINAL!A1110</f>
        <v>0</v>
      </c>
    </row>
    <row r="1111" spans="10:11" x14ac:dyDescent="0.3">
      <c r="J1111" s="10">
        <f>[1]FINAL!B1111</f>
        <v>0</v>
      </c>
      <c r="K1111">
        <f>[1]FINAL!A1111</f>
        <v>0</v>
      </c>
    </row>
    <row r="1112" spans="10:11" x14ac:dyDescent="0.3">
      <c r="J1112" s="10">
        <f>[1]FINAL!B1112</f>
        <v>0</v>
      </c>
      <c r="K1112">
        <f>[1]FINAL!A1112</f>
        <v>0</v>
      </c>
    </row>
    <row r="1113" spans="10:11" x14ac:dyDescent="0.3">
      <c r="J1113" s="10">
        <f>[1]FINAL!B1113</f>
        <v>0</v>
      </c>
      <c r="K1113">
        <f>[1]FINAL!A1113</f>
        <v>0</v>
      </c>
    </row>
    <row r="1114" spans="10:11" x14ac:dyDescent="0.3">
      <c r="J1114" s="10">
        <f>[1]FINAL!B1114</f>
        <v>0</v>
      </c>
      <c r="K1114">
        <f>[1]FINAL!A1114</f>
        <v>0</v>
      </c>
    </row>
    <row r="1115" spans="10:11" x14ac:dyDescent="0.3">
      <c r="J1115" s="10">
        <f>[1]FINAL!B1115</f>
        <v>0</v>
      </c>
      <c r="K1115">
        <f>[1]FINAL!A1115</f>
        <v>0</v>
      </c>
    </row>
    <row r="1116" spans="10:11" x14ac:dyDescent="0.3">
      <c r="J1116" s="10">
        <f>[1]FINAL!B1116</f>
        <v>0</v>
      </c>
      <c r="K1116">
        <f>[1]FINAL!A1116</f>
        <v>0</v>
      </c>
    </row>
    <row r="1117" spans="10:11" x14ac:dyDescent="0.3">
      <c r="J1117" s="10">
        <f>[1]FINAL!B1117</f>
        <v>0</v>
      </c>
      <c r="K1117">
        <f>[1]FINAL!A1117</f>
        <v>0</v>
      </c>
    </row>
    <row r="1118" spans="10:11" x14ac:dyDescent="0.3">
      <c r="J1118" s="10">
        <f>[1]FINAL!B1118</f>
        <v>0</v>
      </c>
      <c r="K1118">
        <f>[1]FINAL!A1118</f>
        <v>0</v>
      </c>
    </row>
    <row r="1119" spans="10:11" x14ac:dyDescent="0.3">
      <c r="J1119" s="10">
        <f>[1]FINAL!B1119</f>
        <v>0</v>
      </c>
      <c r="K1119">
        <f>[1]FINAL!A1119</f>
        <v>0</v>
      </c>
    </row>
    <row r="1120" spans="10:11" x14ac:dyDescent="0.3">
      <c r="J1120" s="10">
        <f>[1]FINAL!B1120</f>
        <v>0</v>
      </c>
      <c r="K1120">
        <f>[1]FINAL!A1120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643BF-5C62-41E0-A1EE-FFAB06D7B9AA}">
  <dimension ref="A1:D1110"/>
  <sheetViews>
    <sheetView workbookViewId="0">
      <selection activeCell="D10" sqref="D10"/>
    </sheetView>
  </sheetViews>
  <sheetFormatPr defaultRowHeight="16.5" x14ac:dyDescent="0.3"/>
  <cols>
    <col min="1" max="1" width="38.625" customWidth="1"/>
  </cols>
  <sheetData>
    <row r="1" spans="1:4" x14ac:dyDescent="0.3">
      <c r="A1" t="str">
        <f>[1]FINAL!A1</f>
        <v>Player Name</v>
      </c>
      <c r="B1" t="str">
        <f>[1]FINAL!J1</f>
        <v>30 Day Form Pts/90</v>
      </c>
      <c r="C1" t="str">
        <f>[1]FINAL!K1</f>
        <v>TOTAL</v>
      </c>
      <c r="D1" t="str">
        <f>[1]FINAL!M1</f>
        <v>Team</v>
      </c>
    </row>
    <row r="2" spans="1:4" x14ac:dyDescent="0.3">
      <c r="A2" t="str">
        <f>[1]FINAL!A2</f>
        <v>Erling Haaland</v>
      </c>
      <c r="B2">
        <f>[1]FINAL!J2</f>
        <v>7.9967898667579052</v>
      </c>
      <c r="C2">
        <f>[1]FINAL!K2</f>
        <v>7.5994758024772491</v>
      </c>
      <c r="D2" t="str">
        <f>[1]FINAL!M2</f>
        <v>MCI</v>
      </c>
    </row>
    <row r="3" spans="1:4" x14ac:dyDescent="0.3">
      <c r="A3" t="str">
        <f>[1]FINAL!A3</f>
        <v>Mohamed Salah (2nd Half)</v>
      </c>
      <c r="B3">
        <f>[1]FINAL!J3</f>
        <v>7.3805286247877762</v>
      </c>
      <c r="C3">
        <f>[1]FINAL!K3</f>
        <v>7.2662500229377205</v>
      </c>
      <c r="D3" t="str">
        <f>[1]FINAL!M3</f>
        <v>LIV</v>
      </c>
    </row>
    <row r="4" spans="1:4" x14ac:dyDescent="0.3">
      <c r="A4" t="str">
        <f>[1]FINAL!A4</f>
        <v>Erling Haaland (2nd Half (post last Hattrick))</v>
      </c>
      <c r="B4">
        <f>[1]FINAL!J4</f>
        <v>6.7395574400154814</v>
      </c>
      <c r="C4">
        <f>[1]FINAL!K4</f>
        <v>6.7327949127706415</v>
      </c>
      <c r="D4" t="str">
        <f>[1]FINAL!M4</f>
        <v>MCI</v>
      </c>
    </row>
    <row r="5" spans="1:4" x14ac:dyDescent="0.3">
      <c r="A5" t="str">
        <f>[1]FINAL!A5</f>
        <v>Mohamed Salah</v>
      </c>
      <c r="B5">
        <f>[1]FINAL!J5</f>
        <v>6.3936943541833307</v>
      </c>
      <c r="C5">
        <f>[1]FINAL!K5</f>
        <v>6.6545189109138443</v>
      </c>
      <c r="D5" t="str">
        <f>[1]FINAL!M5</f>
        <v>LIV</v>
      </c>
    </row>
    <row r="6" spans="1:4" x14ac:dyDescent="0.3">
      <c r="A6" t="str">
        <f>[1]FINAL!A6</f>
        <v>Harry Kane</v>
      </c>
      <c r="B6">
        <f>[1]FINAL!J6</f>
        <v>0</v>
      </c>
      <c r="C6">
        <f>[1]FINAL!K6</f>
        <v>6.5907257316809336</v>
      </c>
      <c r="D6" t="str">
        <f>[1]FINAL!M6</f>
        <v>TOT</v>
      </c>
    </row>
    <row r="7" spans="1:4" x14ac:dyDescent="0.3">
      <c r="A7" t="str">
        <f>[1]FINAL!A7</f>
        <v>Kevin De Bruyne</v>
      </c>
      <c r="B7">
        <f>[1]FINAL!J7</f>
        <v>6.2379999773533967</v>
      </c>
      <c r="C7">
        <f>[1]FINAL!K7</f>
        <v>6.0612854261783848</v>
      </c>
      <c r="D7" t="str">
        <f>[1]FINAL!M7</f>
        <v>MCI</v>
      </c>
    </row>
    <row r="8" spans="1:4" x14ac:dyDescent="0.3">
      <c r="A8" t="str">
        <f>[1]FINAL!A8</f>
        <v>Callum Wilson</v>
      </c>
      <c r="B8">
        <f>[1]FINAL!J8</f>
        <v>6.1934357037826384</v>
      </c>
      <c r="C8">
        <f>[1]FINAL!K8</f>
        <v>6.025905373058313</v>
      </c>
      <c r="D8" t="str">
        <f>[1]FINAL!M8</f>
        <v>NEW</v>
      </c>
    </row>
    <row r="9" spans="1:4" x14ac:dyDescent="0.3">
      <c r="A9" t="str">
        <f>[1]FINAL!A9</f>
        <v>Marcus Rashford</v>
      </c>
      <c r="B9">
        <f>[1]FINAL!J9</f>
        <v>6.1561712941262536</v>
      </c>
      <c r="C9">
        <f>[1]FINAL!K9</f>
        <v>5.8386653310287979</v>
      </c>
      <c r="D9" t="str">
        <f>[1]FINAL!M9</f>
        <v>MUN</v>
      </c>
    </row>
    <row r="10" spans="1:4" x14ac:dyDescent="0.3">
      <c r="A10" t="str">
        <f>[1]FINAL!A10</f>
        <v>Ivan Toney</v>
      </c>
      <c r="B10">
        <f>[1]FINAL!J10</f>
        <v>5.4588701581265946</v>
      </c>
      <c r="C10">
        <f>[1]FINAL!K10</f>
        <v>5.7825191330849988</v>
      </c>
      <c r="D10" t="str">
        <f>[1]FINAL!M10</f>
        <v>BRE</v>
      </c>
    </row>
    <row r="11" spans="1:4" x14ac:dyDescent="0.3">
      <c r="A11" t="str">
        <f>[1]FINAL!A11</f>
        <v>Eddie Nketiah</v>
      </c>
      <c r="B11">
        <f>[1]FINAL!J11</f>
        <v>0</v>
      </c>
      <c r="C11">
        <f>[1]FINAL!K11</f>
        <v>5.4864052287581693</v>
      </c>
      <c r="D11" t="str">
        <f>[1]FINAL!M11</f>
        <v>ARS</v>
      </c>
    </row>
    <row r="12" spans="1:4" x14ac:dyDescent="0.3">
      <c r="A12" t="str">
        <f>[1]FINAL!A12</f>
        <v>Bruno Borges Fernandes</v>
      </c>
      <c r="B12">
        <f>[1]FINAL!J12</f>
        <v>4.8022050866611661</v>
      </c>
      <c r="C12">
        <f>[1]FINAL!K12</f>
        <v>5.4363493239005969</v>
      </c>
      <c r="D12" t="str">
        <f>[1]FINAL!M12</f>
        <v>MUN</v>
      </c>
    </row>
    <row r="13" spans="1:4" x14ac:dyDescent="0.3">
      <c r="A13" t="str">
        <f>[1]FINAL!A13</f>
        <v>Martin Ødegaard</v>
      </c>
      <c r="B13">
        <f>[1]FINAL!J13</f>
        <v>5.7414941659232879</v>
      </c>
      <c r="C13">
        <f>[1]FINAL!K13</f>
        <v>5.3704056220463343</v>
      </c>
      <c r="D13" t="str">
        <f>[1]FINAL!M13</f>
        <v>ARS</v>
      </c>
    </row>
    <row r="14" spans="1:4" x14ac:dyDescent="0.3">
      <c r="A14" t="str">
        <f>[1]FINAL!A14</f>
        <v>Eberechi Eze (Post Hodge)</v>
      </c>
      <c r="B14">
        <f>[1]FINAL!J14</f>
        <v>5.4558771929824559</v>
      </c>
      <c r="C14">
        <f>[1]FINAL!K14</f>
        <v>5.3499190002619663</v>
      </c>
      <c r="D14" t="str">
        <f>[1]FINAL!M14</f>
        <v>CRY</v>
      </c>
    </row>
    <row r="15" spans="1:4" x14ac:dyDescent="0.3">
      <c r="A15" t="str">
        <f>[1]FINAL!A15</f>
        <v>Julián Álvarez</v>
      </c>
      <c r="B15">
        <f>[1]FINAL!J15</f>
        <v>5.8615188934794329</v>
      </c>
      <c r="C15">
        <f>[1]FINAL!K15</f>
        <v>5.31982575435614</v>
      </c>
      <c r="D15" t="str">
        <f>[1]FINAL!M15</f>
        <v>MCI</v>
      </c>
    </row>
    <row r="16" spans="1:4" x14ac:dyDescent="0.3">
      <c r="A16" t="str">
        <f>[1]FINAL!A16</f>
        <v>Kaoru Mitoma</v>
      </c>
      <c r="B16">
        <f>[1]FINAL!J16</f>
        <v>3.1493737120158873</v>
      </c>
      <c r="C16">
        <f>[1]FINAL!K16</f>
        <v>5.2978202804730055</v>
      </c>
      <c r="D16" t="str">
        <f>[1]FINAL!M16</f>
        <v>BHA</v>
      </c>
    </row>
    <row r="17" spans="1:4" x14ac:dyDescent="0.3">
      <c r="A17" t="str">
        <f>[1]FINAL!A17</f>
        <v>Gabriel Fernando de Jesus</v>
      </c>
      <c r="B17">
        <f>[1]FINAL!J17</f>
        <v>5.0684787331701386</v>
      </c>
      <c r="C17">
        <f>[1]FINAL!K17</f>
        <v>5.2940145348837202</v>
      </c>
      <c r="D17" t="str">
        <f>[1]FINAL!M17</f>
        <v>ARS</v>
      </c>
    </row>
    <row r="18" spans="1:4" x14ac:dyDescent="0.3">
      <c r="A18" t="str">
        <f>[1]FINAL!A18</f>
        <v>Kieran Trippier</v>
      </c>
      <c r="B18">
        <f>[1]FINAL!J18</f>
        <v>5.1397915168165831</v>
      </c>
      <c r="C18">
        <f>[1]FINAL!K18</f>
        <v>5.2806693173709629</v>
      </c>
      <c r="D18" t="str">
        <f>[1]FINAL!M18</f>
        <v>NEW</v>
      </c>
    </row>
    <row r="19" spans="1:4" x14ac:dyDescent="0.3">
      <c r="A19" t="str">
        <f>[1]FINAL!A19</f>
        <v>Ollie Watkins (Post Emery)</v>
      </c>
      <c r="B19">
        <f>[1]FINAL!J19</f>
        <v>2.9247621131333013</v>
      </c>
      <c r="C19">
        <f>[1]FINAL!K19</f>
        <v>5.2512526733780751</v>
      </c>
      <c r="D19" t="str">
        <f>[1]FINAL!M19</f>
        <v>AVL</v>
      </c>
    </row>
    <row r="20" spans="1:4" x14ac:dyDescent="0.3">
      <c r="A20" t="str">
        <f>[1]FINAL!A20</f>
        <v>Trent Alexander-Arnold (2nd Half)</v>
      </c>
      <c r="B20">
        <f>[1]FINAL!J20</f>
        <v>5.4327568922305778</v>
      </c>
      <c r="C20">
        <f>[1]FINAL!K20</f>
        <v>5.2411196634535404</v>
      </c>
      <c r="D20" t="str">
        <f>[1]FINAL!M20</f>
        <v>LIV</v>
      </c>
    </row>
    <row r="21" spans="1:4" x14ac:dyDescent="0.3">
      <c r="A21" t="str">
        <f>[1]FINAL!A21</f>
        <v>Alexander Isak</v>
      </c>
      <c r="B21">
        <f>[1]FINAL!J21</f>
        <v>0</v>
      </c>
      <c r="C21">
        <f>[1]FINAL!K21</f>
        <v>5.2368741486068107</v>
      </c>
      <c r="D21" t="str">
        <f>[1]FINAL!M21</f>
        <v>NEW</v>
      </c>
    </row>
    <row r="22" spans="1:4" x14ac:dyDescent="0.3">
      <c r="A22" t="str">
        <f>[1]FINAL!A22</f>
        <v>Gabriel Martinelli Silva</v>
      </c>
      <c r="B22">
        <f>[1]FINAL!J22</f>
        <v>5.5878120482346114</v>
      </c>
      <c r="C22">
        <f>[1]FINAL!K22</f>
        <v>5.1976132464207137</v>
      </c>
      <c r="D22" t="str">
        <f>[1]FINAL!M22</f>
        <v>ARS</v>
      </c>
    </row>
    <row r="23" spans="1:4" x14ac:dyDescent="0.3">
      <c r="A23" t="str">
        <f>[1]FINAL!A23</f>
        <v>Darwin Núñez Ribeiro</v>
      </c>
      <c r="B23">
        <f>[1]FINAL!J23</f>
        <v>4.6024819748486259</v>
      </c>
      <c r="C23">
        <f>[1]FINAL!K23</f>
        <v>5.1903962995374417</v>
      </c>
      <c r="D23" t="str">
        <f>[1]FINAL!M23</f>
        <v>LIV</v>
      </c>
    </row>
    <row r="24" spans="1:4" x14ac:dyDescent="0.3">
      <c r="A24" t="str">
        <f>[1]FINAL!A24</f>
        <v>Bukayo Saka</v>
      </c>
      <c r="B24">
        <f>[1]FINAL!J24</f>
        <v>5.3778000211783823</v>
      </c>
      <c r="C24">
        <f>[1]FINAL!K24</f>
        <v>5.1671646871262764</v>
      </c>
      <c r="D24" t="str">
        <f>[1]FINAL!M24</f>
        <v>ARS</v>
      </c>
    </row>
    <row r="25" spans="1:4" x14ac:dyDescent="0.3">
      <c r="A25" t="str">
        <f>[1]FINAL!A25</f>
        <v>Aleksandar Mitrović</v>
      </c>
      <c r="B25">
        <f>[1]FINAL!J25</f>
        <v>4.5609609769343704</v>
      </c>
      <c r="C25">
        <f>[1]FINAL!K25</f>
        <v>5.1505710577547044</v>
      </c>
      <c r="D25" t="str">
        <f>[1]FINAL!M25</f>
        <v>FUL</v>
      </c>
    </row>
    <row r="26" spans="1:4" x14ac:dyDescent="0.3">
      <c r="A26" t="str">
        <f>[1]FINAL!A26</f>
        <v>Phil Foden</v>
      </c>
      <c r="B26">
        <f>[1]FINAL!J26</f>
        <v>5.8221191245214028</v>
      </c>
      <c r="C26">
        <f>[1]FINAL!K26</f>
        <v>5.1444424915496851</v>
      </c>
      <c r="D26" t="str">
        <f>[1]FINAL!M26</f>
        <v>MCI</v>
      </c>
    </row>
    <row r="27" spans="1:4" x14ac:dyDescent="0.3">
      <c r="A27" t="str">
        <f>[1]FINAL!A27</f>
        <v>Bryan Mbeumo (More Mins)</v>
      </c>
      <c r="B27">
        <f>[1]FINAL!J27</f>
        <v>6.2850088315127453</v>
      </c>
      <c r="C27">
        <f>[1]FINAL!K27</f>
        <v>5.1436964144306554</v>
      </c>
      <c r="D27" t="str">
        <f>[1]FINAL!M27</f>
        <v>BRE</v>
      </c>
    </row>
    <row r="28" spans="1:4" x14ac:dyDescent="0.3">
      <c r="A28" t="str">
        <f>[1]FINAL!A28</f>
        <v>Deniz Undav</v>
      </c>
      <c r="B28">
        <f>[1]FINAL!J28</f>
        <v>0</v>
      </c>
      <c r="C28">
        <f>[1]FINAL!K28</f>
        <v>5.1222964169381102</v>
      </c>
      <c r="D28" t="str">
        <f>[1]FINAL!M28</f>
        <v>BHA</v>
      </c>
    </row>
    <row r="29" spans="1:4" x14ac:dyDescent="0.3">
      <c r="A29" t="str">
        <f>[1]FINAL!A29</f>
        <v>Riyad Mahrez</v>
      </c>
      <c r="B29">
        <f>[1]FINAL!J29</f>
        <v>5.1493326315789485</v>
      </c>
      <c r="C29">
        <f>[1]FINAL!K29</f>
        <v>5.0611935476806096</v>
      </c>
      <c r="D29" t="str">
        <f>[1]FINAL!M29</f>
        <v>MCI</v>
      </c>
    </row>
    <row r="30" spans="1:4" x14ac:dyDescent="0.3">
      <c r="A30" t="str">
        <f>[1]FINAL!A30</f>
        <v>Sergio Gómez</v>
      </c>
      <c r="B30">
        <f>[1]FINAL!J30</f>
        <v>0</v>
      </c>
      <c r="C30">
        <f>[1]FINAL!K30</f>
        <v>4.9317266491339238</v>
      </c>
      <c r="D30" t="str">
        <f>[1]FINAL!M30</f>
        <v>MCI</v>
      </c>
    </row>
    <row r="31" spans="1:4" x14ac:dyDescent="0.3">
      <c r="A31" t="str">
        <f>[1]FINAL!A31</f>
        <v>Ollie Watkins</v>
      </c>
      <c r="B31">
        <f>[1]FINAL!J31</f>
        <v>4.8679379900021891</v>
      </c>
      <c r="C31">
        <f>[1]FINAL!K31</f>
        <v>4.9249418344519009</v>
      </c>
      <c r="D31" t="str">
        <f>[1]FINAL!M31</f>
        <v>AVL</v>
      </c>
    </row>
    <row r="32" spans="1:4" x14ac:dyDescent="0.3">
      <c r="A32" t="str">
        <f>[1]FINAL!A32</f>
        <v>Solly March</v>
      </c>
      <c r="B32">
        <f>[1]FINAL!J32</f>
        <v>4.7632389624890994</v>
      </c>
      <c r="C32">
        <f>[1]FINAL!K32</f>
        <v>4.9063453970513446</v>
      </c>
      <c r="D32" t="str">
        <f>[1]FINAL!M32</f>
        <v>BHA</v>
      </c>
    </row>
    <row r="33" spans="1:4" x14ac:dyDescent="0.3">
      <c r="A33" t="str">
        <f>[1]FINAL!A33</f>
        <v>Alexis Mac Allister</v>
      </c>
      <c r="B33">
        <f>[1]FINAL!J33</f>
        <v>4.3180623773571138</v>
      </c>
      <c r="C33">
        <f>[1]FINAL!K33</f>
        <v>4.9020833114153479</v>
      </c>
      <c r="D33" t="str">
        <f>[1]FINAL!M33</f>
        <v>LIV</v>
      </c>
    </row>
    <row r="34" spans="1:4" x14ac:dyDescent="0.3">
      <c r="A34" t="str">
        <f>[1]FINAL!A34</f>
        <v>Trent Alexander-Arnold</v>
      </c>
      <c r="B34">
        <f>[1]FINAL!J34</f>
        <v>0</v>
      </c>
      <c r="C34">
        <f>[1]FINAL!K34</f>
        <v>4.9012875390591368</v>
      </c>
      <c r="D34" t="str">
        <f>[1]FINAL!M34</f>
        <v>LIV</v>
      </c>
    </row>
    <row r="35" spans="1:4" x14ac:dyDescent="0.3">
      <c r="A35" t="str">
        <f>[1]FINAL!A35</f>
        <v>James Maddison</v>
      </c>
      <c r="B35">
        <f>[1]FINAL!J35</f>
        <v>4.6694168327674044</v>
      </c>
      <c r="C35">
        <f>[1]FINAL!K35</f>
        <v>4.8782364972869976</v>
      </c>
      <c r="D35" t="str">
        <f>[1]FINAL!M35</f>
        <v>TOT</v>
      </c>
    </row>
    <row r="36" spans="1:4" x14ac:dyDescent="0.3">
      <c r="A36" t="str">
        <f>[1]FINAL!A36</f>
        <v>Christopher Nkunku</v>
      </c>
      <c r="B36">
        <f>[1]FINAL!J36</f>
        <v>0</v>
      </c>
      <c r="C36">
        <f>[1]FINAL!K36</f>
        <v>4.8106</v>
      </c>
      <c r="D36" t="str">
        <f>[1]FINAL!M36</f>
        <v>CHE</v>
      </c>
    </row>
    <row r="37" spans="1:4" x14ac:dyDescent="0.3">
      <c r="A37" t="str">
        <f>[1]FINAL!A37</f>
        <v>Pedro Porro</v>
      </c>
      <c r="B37">
        <f>[1]FINAL!J37</f>
        <v>0</v>
      </c>
      <c r="C37">
        <f>[1]FINAL!K37</f>
        <v>4.7959013439273033</v>
      </c>
      <c r="D37" t="str">
        <f>[1]FINAL!M37</f>
        <v>TOT</v>
      </c>
    </row>
    <row r="38" spans="1:4" x14ac:dyDescent="0.3">
      <c r="A38" t="str">
        <f>[1]FINAL!A38</f>
        <v>Nicolas Jackson</v>
      </c>
      <c r="B38">
        <f>[1]FINAL!J38</f>
        <v>0</v>
      </c>
      <c r="C38">
        <f>[1]FINAL!K38</f>
        <v>4.7506750000000002</v>
      </c>
      <c r="D38" t="str">
        <f>[1]FINAL!M38</f>
        <v>CHE</v>
      </c>
    </row>
    <row r="39" spans="1:4" x14ac:dyDescent="0.3">
      <c r="A39" t="str">
        <f>[1]FINAL!A39</f>
        <v>Eberechi Eze</v>
      </c>
      <c r="B39">
        <f>[1]FINAL!J39</f>
        <v>4.9895668981710761</v>
      </c>
      <c r="C39">
        <f>[1]FINAL!K39</f>
        <v>4.6748610782570088</v>
      </c>
      <c r="D39" t="str">
        <f>[1]FINAL!M39</f>
        <v>CRY</v>
      </c>
    </row>
    <row r="40" spans="1:4" x14ac:dyDescent="0.3">
      <c r="A40" t="str">
        <f>[1]FINAL!A40</f>
        <v>Miguel Almirón Rejala</v>
      </c>
      <c r="B40">
        <f>[1]FINAL!J40</f>
        <v>5.0055411915738812</v>
      </c>
      <c r="C40">
        <f>[1]FINAL!K40</f>
        <v>4.6425680539059098</v>
      </c>
      <c r="D40" t="str">
        <f>[1]FINAL!M40</f>
        <v>NEW</v>
      </c>
    </row>
    <row r="41" spans="1:4" x14ac:dyDescent="0.3">
      <c r="A41" t="str">
        <f>[1]FINAL!A41</f>
        <v>Jack Grealish</v>
      </c>
      <c r="B41">
        <f>[1]FINAL!J41</f>
        <v>4.7933956778076592</v>
      </c>
      <c r="C41">
        <f>[1]FINAL!K41</f>
        <v>4.6327147223457708</v>
      </c>
      <c r="D41" t="str">
        <f>[1]FINAL!M41</f>
        <v>MCI</v>
      </c>
    </row>
    <row r="42" spans="1:4" x14ac:dyDescent="0.3">
      <c r="A42" t="str">
        <f>[1]FINAL!A42</f>
        <v>Son Heung-Min</v>
      </c>
      <c r="B42">
        <f>[1]FINAL!J42</f>
        <v>4.4621835457063721</v>
      </c>
      <c r="C42">
        <f>[1]FINAL!K42</f>
        <v>4.6249641029672448</v>
      </c>
      <c r="D42" t="str">
        <f>[1]FINAL!M42</f>
        <v>TOT</v>
      </c>
    </row>
    <row r="43" spans="1:4" x14ac:dyDescent="0.3">
      <c r="A43" t="str">
        <f>[1]FINAL!A43</f>
        <v>Taiwo Awoniyi</v>
      </c>
      <c r="B43">
        <f>[1]FINAL!J43</f>
        <v>5.0438372319688138</v>
      </c>
      <c r="C43">
        <f>[1]FINAL!K43</f>
        <v>4.4837921146953397</v>
      </c>
      <c r="D43" t="str">
        <f>[1]FINAL!M43</f>
        <v>NFO</v>
      </c>
    </row>
    <row r="44" spans="1:4" x14ac:dyDescent="0.3">
      <c r="A44" t="str">
        <f>[1]FINAL!A44</f>
        <v>Richarlison de Andrade</v>
      </c>
      <c r="B44">
        <f>[1]FINAL!J44</f>
        <v>0</v>
      </c>
      <c r="C44">
        <f>[1]FINAL!K44</f>
        <v>4.4728318686577673</v>
      </c>
      <c r="D44" t="str">
        <f>[1]FINAL!M44</f>
        <v>TOT</v>
      </c>
    </row>
    <row r="45" spans="1:4" x14ac:dyDescent="0.3">
      <c r="A45" t="str">
        <f>[1]FINAL!A45</f>
        <v>Alejandro Garnacho</v>
      </c>
      <c r="B45">
        <f>[1]FINAL!J45</f>
        <v>0</v>
      </c>
      <c r="C45">
        <f>[1]FINAL!K45</f>
        <v>4.4721808628239188</v>
      </c>
      <c r="D45" t="str">
        <f>[1]FINAL!M45</f>
        <v>MUN</v>
      </c>
    </row>
    <row r="46" spans="1:4" x14ac:dyDescent="0.3">
      <c r="A46" t="str">
        <f>[1]FINAL!A46</f>
        <v>Evan Ferguson</v>
      </c>
      <c r="B46">
        <f>[1]FINAL!J46</f>
        <v>0</v>
      </c>
      <c r="C46">
        <f>[1]FINAL!K46</f>
        <v>4.4691804670912951</v>
      </c>
      <c r="D46" t="str">
        <f>[1]FINAL!M46</f>
        <v>BHA</v>
      </c>
    </row>
    <row r="47" spans="1:4" x14ac:dyDescent="0.3">
      <c r="A47" t="str">
        <f>[1]FINAL!A47</f>
        <v>Yoane Wissa (More mins)</v>
      </c>
      <c r="B47">
        <f>[1]FINAL!J47</f>
        <v>6.5184277203094192</v>
      </c>
      <c r="C47">
        <f>[1]FINAL!K47</f>
        <v>4.4603793635790803</v>
      </c>
      <c r="D47" t="str">
        <f>[1]FINAL!M47</f>
        <v>BRE</v>
      </c>
    </row>
    <row r="48" spans="1:4" x14ac:dyDescent="0.3">
      <c r="A48" t="str">
        <f>[1]FINAL!A48</f>
        <v>João Cancelo</v>
      </c>
      <c r="B48">
        <f>[1]FINAL!J48</f>
        <v>4.3986961546723951</v>
      </c>
      <c r="C48">
        <f>[1]FINAL!K48</f>
        <v>4.4555738124655209</v>
      </c>
      <c r="D48" t="str">
        <f>[1]FINAL!M48</f>
        <v>MCI</v>
      </c>
    </row>
    <row r="49" spans="1:4" x14ac:dyDescent="0.3">
      <c r="A49" t="str">
        <f>[1]FINAL!A49</f>
        <v>Bryan Mbeumo</v>
      </c>
      <c r="B49">
        <f>[1]FINAL!J49</f>
        <v>4.0553964791538384</v>
      </c>
      <c r="C49">
        <f>[1]FINAL!K49</f>
        <v>4.45474479698529</v>
      </c>
      <c r="D49" t="str">
        <f>[1]FINAL!M49</f>
        <v>BRE</v>
      </c>
    </row>
    <row r="50" spans="1:4" x14ac:dyDescent="0.3">
      <c r="A50" t="str">
        <f>[1]FINAL!A50</f>
        <v>John Stones</v>
      </c>
      <c r="B50">
        <f>[1]FINAL!J50</f>
        <v>4.2145004675828242</v>
      </c>
      <c r="C50">
        <f>[1]FINAL!K50</f>
        <v>4.4542354167010849</v>
      </c>
      <c r="D50" t="str">
        <f>[1]FINAL!M50</f>
        <v>MCI</v>
      </c>
    </row>
    <row r="51" spans="1:4" x14ac:dyDescent="0.3">
      <c r="A51" t="str">
        <f>[1]FINAL!A51</f>
        <v>Diogo Dalot Teixeira</v>
      </c>
      <c r="B51">
        <f>[1]FINAL!J51</f>
        <v>4.2127221378097044</v>
      </c>
      <c r="C51">
        <f>[1]FINAL!K51</f>
        <v>4.4389514265893917</v>
      </c>
      <c r="D51" t="str">
        <f>[1]FINAL!M51</f>
        <v>MUN</v>
      </c>
    </row>
    <row r="52" spans="1:4" x14ac:dyDescent="0.3">
      <c r="A52" t="str">
        <f>[1]FINAL!A52</f>
        <v>Cody Gakpo</v>
      </c>
      <c r="B52">
        <f>[1]FINAL!J52</f>
        <v>5.000773684210527</v>
      </c>
      <c r="C52">
        <f>[1]FINAL!K52</f>
        <v>4.4183281989084291</v>
      </c>
      <c r="D52" t="str">
        <f>[1]FINAL!M52</f>
        <v>LIV</v>
      </c>
    </row>
    <row r="53" spans="1:4" x14ac:dyDescent="0.3">
      <c r="A53" t="str">
        <f>[1]FINAL!A53</f>
        <v>Kai Havertz</v>
      </c>
      <c r="B53">
        <f>[1]FINAL!J53</f>
        <v>3.2041962575648961</v>
      </c>
      <c r="C53">
        <f>[1]FINAL!K53</f>
        <v>4.4112006694922599</v>
      </c>
      <c r="D53" t="str">
        <f>[1]FINAL!M53</f>
        <v>ARS</v>
      </c>
    </row>
    <row r="54" spans="1:4" x14ac:dyDescent="0.3">
      <c r="A54" t="str">
        <f>[1]FINAL!A54</f>
        <v>Jadon Sancho</v>
      </c>
      <c r="B54">
        <f>[1]FINAL!J54</f>
        <v>4.6330127626896438</v>
      </c>
      <c r="C54">
        <f>[1]FINAL!K54</f>
        <v>4.3826715081684249</v>
      </c>
      <c r="D54" t="str">
        <f>[1]FINAL!M54</f>
        <v>MUN</v>
      </c>
    </row>
    <row r="55" spans="1:4" x14ac:dyDescent="0.3">
      <c r="A55" t="str">
        <f>[1]FINAL!A55</f>
        <v>Jarrod Bowen</v>
      </c>
      <c r="B55">
        <f>[1]FINAL!J55</f>
        <v>4.0427568521985444</v>
      </c>
      <c r="C55">
        <f>[1]FINAL!K55</f>
        <v>4.3678919444764279</v>
      </c>
      <c r="D55" t="str">
        <f>[1]FINAL!M55</f>
        <v>WHU</v>
      </c>
    </row>
    <row r="56" spans="1:4" x14ac:dyDescent="0.3">
      <c r="A56" t="str">
        <f>[1]FINAL!A56</f>
        <v>Pascal Groß</v>
      </c>
      <c r="B56">
        <f>[1]FINAL!J56</f>
        <v>4.4190128675192177</v>
      </c>
      <c r="C56">
        <f>[1]FINAL!K56</f>
        <v>4.3376090750216916</v>
      </c>
      <c r="D56" t="str">
        <f>[1]FINAL!M56</f>
        <v>BHA</v>
      </c>
    </row>
    <row r="57" spans="1:4" x14ac:dyDescent="0.3">
      <c r="A57" t="str">
        <f>[1]FINAL!A57</f>
        <v>Luis Díaz</v>
      </c>
      <c r="B57">
        <f>[1]FINAL!J57</f>
        <v>2.3658278714859438</v>
      </c>
      <c r="C57">
        <f>[1]FINAL!K57</f>
        <v>4.2908870177861234</v>
      </c>
      <c r="D57" t="str">
        <f>[1]FINAL!M57</f>
        <v>LIV</v>
      </c>
    </row>
    <row r="58" spans="1:4" x14ac:dyDescent="0.3">
      <c r="A58" t="str">
        <f>[1]FINAL!A58</f>
        <v>Raheem Sterling</v>
      </c>
      <c r="B58">
        <f>[1]FINAL!J58</f>
        <v>4.0255414574299326</v>
      </c>
      <c r="C58">
        <f>[1]FINAL!K58</f>
        <v>4.2907341017878755</v>
      </c>
      <c r="D58" t="str">
        <f>[1]FINAL!M58</f>
        <v>CHE</v>
      </c>
    </row>
    <row r="59" spans="1:4" x14ac:dyDescent="0.3">
      <c r="A59" t="str">
        <f>[1]FINAL!A59</f>
        <v>Nathan Aké</v>
      </c>
      <c r="B59">
        <f>[1]FINAL!J59</f>
        <v>3.9640564565712197</v>
      </c>
      <c r="C59">
        <f>[1]FINAL!K59</f>
        <v>4.2729018505776466</v>
      </c>
      <c r="D59" t="str">
        <f>[1]FINAL!M59</f>
        <v>MCI</v>
      </c>
    </row>
    <row r="60" spans="1:4" x14ac:dyDescent="0.3">
      <c r="A60" t="str">
        <f>[1]FINAL!A60</f>
        <v>Saïd Benrahma</v>
      </c>
      <c r="B60">
        <f>[1]FINAL!J60</f>
        <v>3.9954105991707154</v>
      </c>
      <c r="C60">
        <f>[1]FINAL!K60</f>
        <v>4.2526453494840473</v>
      </c>
      <c r="D60" t="str">
        <f>[1]FINAL!M60</f>
        <v>WHU</v>
      </c>
    </row>
    <row r="61" spans="1:4" x14ac:dyDescent="0.3">
      <c r="A61" t="str">
        <f>[1]FINAL!A61</f>
        <v>Gabriel dos Santos Magalhães</v>
      </c>
      <c r="B61">
        <f>[1]FINAL!J61</f>
        <v>3.8641325519136656</v>
      </c>
      <c r="C61">
        <f>[1]FINAL!K61</f>
        <v>4.2509194034259465</v>
      </c>
      <c r="D61" t="str">
        <f>[1]FINAL!M61</f>
        <v>ARS</v>
      </c>
    </row>
    <row r="62" spans="1:4" x14ac:dyDescent="0.3">
      <c r="A62" t="str">
        <f>[1]FINAL!A62</f>
        <v>Ivan Perišić</v>
      </c>
      <c r="B62">
        <f>[1]FINAL!J62</f>
        <v>3.689842645161292</v>
      </c>
      <c r="C62">
        <f>[1]FINAL!K62</f>
        <v>4.242874287831464</v>
      </c>
      <c r="D62" t="str">
        <f>[1]FINAL!M62</f>
        <v>TOT</v>
      </c>
    </row>
    <row r="63" spans="1:4" x14ac:dyDescent="0.3">
      <c r="A63" t="str">
        <f>[1]FINAL!A63</f>
        <v>Anthony Martial</v>
      </c>
      <c r="B63">
        <f>[1]FINAL!J63</f>
        <v>0</v>
      </c>
      <c r="C63">
        <f>[1]FINAL!K63</f>
        <v>4.2305154639175253</v>
      </c>
      <c r="D63" t="str">
        <f>[1]FINAL!M63</f>
        <v>MUN</v>
      </c>
    </row>
    <row r="64" spans="1:4" x14ac:dyDescent="0.3">
      <c r="A64" t="str">
        <f>[1]FINAL!A64</f>
        <v>Pervis Estupiñán</v>
      </c>
      <c r="B64">
        <f>[1]FINAL!J64</f>
        <v>3.9998915809149054</v>
      </c>
      <c r="C64">
        <f>[1]FINAL!K64</f>
        <v>4.2172415681337192</v>
      </c>
      <c r="D64" t="str">
        <f>[1]FINAL!M64</f>
        <v>BHA</v>
      </c>
    </row>
    <row r="65" spans="1:4" x14ac:dyDescent="0.3">
      <c r="A65" t="str">
        <f>[1]FINAL!A65</f>
        <v>Manor Solomon</v>
      </c>
      <c r="B65">
        <f>[1]FINAL!J65</f>
        <v>0</v>
      </c>
      <c r="C65">
        <f>[1]FINAL!K65</f>
        <v>4.2049088735874456</v>
      </c>
      <c r="D65" t="str">
        <f>[1]FINAL!M65</f>
        <v>TOT</v>
      </c>
    </row>
    <row r="66" spans="1:4" x14ac:dyDescent="0.3">
      <c r="A66" t="str">
        <f>[1]FINAL!A66</f>
        <v>Danny Welbeck</v>
      </c>
      <c r="B66">
        <f>[1]FINAL!J66</f>
        <v>3.8159411866235184</v>
      </c>
      <c r="C66">
        <f>[1]FINAL!K66</f>
        <v>4.1984815618221258</v>
      </c>
      <c r="D66" t="str">
        <f>[1]FINAL!M66</f>
        <v>BHA</v>
      </c>
    </row>
    <row r="67" spans="1:4" x14ac:dyDescent="0.3">
      <c r="A67" t="str">
        <f>[1]FINAL!A67</f>
        <v>Fabian Schär</v>
      </c>
      <c r="B67">
        <f>[1]FINAL!J67</f>
        <v>3.8029043772203428</v>
      </c>
      <c r="C67">
        <f>[1]FINAL!K67</f>
        <v>4.1984406302583501</v>
      </c>
      <c r="D67" t="str">
        <f>[1]FINAL!M67</f>
        <v>NEW</v>
      </c>
    </row>
    <row r="68" spans="1:4" x14ac:dyDescent="0.3">
      <c r="A68" t="str">
        <f>[1]FINAL!A68</f>
        <v>Sam Surridge</v>
      </c>
      <c r="B68">
        <f>[1]FINAL!J68</f>
        <v>0</v>
      </c>
      <c r="C68">
        <f>[1]FINAL!K68</f>
        <v>4.1859477124183</v>
      </c>
      <c r="D68" t="str">
        <f>[1]FINAL!M68</f>
        <v>NFO</v>
      </c>
    </row>
    <row r="69" spans="1:4" x14ac:dyDescent="0.3">
      <c r="A69" t="str">
        <f>[1]FINAL!A69</f>
        <v>Joe Willock</v>
      </c>
      <c r="B69">
        <f>[1]FINAL!J69</f>
        <v>3.7009594260318539</v>
      </c>
      <c r="C69">
        <f>[1]FINAL!K69</f>
        <v>4.1783234734778274</v>
      </c>
      <c r="D69" t="str">
        <f>[1]FINAL!M69</f>
        <v>NEW</v>
      </c>
    </row>
    <row r="70" spans="1:4" x14ac:dyDescent="0.3">
      <c r="A70" t="str">
        <f>[1]FINAL!A70</f>
        <v>Allan Saint-Maximin</v>
      </c>
      <c r="B70">
        <f>[1]FINAL!J70</f>
        <v>0</v>
      </c>
      <c r="C70">
        <f>[1]FINAL!K70</f>
        <v>4.170822205236826</v>
      </c>
      <c r="D70" t="str">
        <f>[1]FINAL!M70</f>
        <v>NEW</v>
      </c>
    </row>
    <row r="71" spans="1:4" x14ac:dyDescent="0.3">
      <c r="A71" t="str">
        <f>[1]FINAL!A71</f>
        <v>Ben Chilwell</v>
      </c>
      <c r="B71">
        <f>[1]FINAL!J71</f>
        <v>4.1663940864234457</v>
      </c>
      <c r="C71">
        <f>[1]FINAL!K71</f>
        <v>4.1703325125664081</v>
      </c>
      <c r="D71" t="str">
        <f>[1]FINAL!M71</f>
        <v>CHE</v>
      </c>
    </row>
    <row r="72" spans="1:4" x14ac:dyDescent="0.3">
      <c r="A72" t="str">
        <f>[1]FINAL!A72</f>
        <v>Marcus Tavernier</v>
      </c>
      <c r="B72">
        <f>[1]FINAL!J72</f>
        <v>4.4475956290726817</v>
      </c>
      <c r="C72">
        <f>[1]FINAL!K72</f>
        <v>4.1619360345440182</v>
      </c>
      <c r="D72" t="str">
        <f>[1]FINAL!M72</f>
        <v>BOU</v>
      </c>
    </row>
    <row r="73" spans="1:4" x14ac:dyDescent="0.3">
      <c r="A73" t="str">
        <f>[1]FINAL!A73</f>
        <v>Andrew Robertson</v>
      </c>
      <c r="B73">
        <f>[1]FINAL!J73</f>
        <v>3.9078288403936674</v>
      </c>
      <c r="C73">
        <f>[1]FINAL!K73</f>
        <v>4.1441707890529917</v>
      </c>
      <c r="D73" t="str">
        <f>[1]FINAL!M73</f>
        <v>LIV</v>
      </c>
    </row>
    <row r="74" spans="1:4" x14ac:dyDescent="0.3">
      <c r="A74" t="str">
        <f>[1]FINAL!A74</f>
        <v>Michael Keane</v>
      </c>
      <c r="B74">
        <f>[1]FINAL!J74</f>
        <v>0</v>
      </c>
      <c r="C74">
        <f>[1]FINAL!K74</f>
        <v>4.140804950823064</v>
      </c>
      <c r="D74" t="str">
        <f>[1]FINAL!M74</f>
        <v>EVE</v>
      </c>
    </row>
    <row r="75" spans="1:4" x14ac:dyDescent="0.3">
      <c r="A75" t="str">
        <f>[1]FINAL!A75</f>
        <v>Emiliano Buendía Stati</v>
      </c>
      <c r="B75">
        <f>[1]FINAL!J75</f>
        <v>3.8758955797329149</v>
      </c>
      <c r="C75">
        <f>[1]FINAL!K75</f>
        <v>4.1149284859186288</v>
      </c>
      <c r="D75" t="str">
        <f>[1]FINAL!M75</f>
        <v>AVL</v>
      </c>
    </row>
    <row r="76" spans="1:4" x14ac:dyDescent="0.3">
      <c r="A76" t="str">
        <f>[1]FINAL!A76</f>
        <v>Michael Olise</v>
      </c>
      <c r="B76">
        <f>[1]FINAL!J76</f>
        <v>4.1173273404683073</v>
      </c>
      <c r="C76">
        <f>[1]FINAL!K76</f>
        <v>4.0932043658179653</v>
      </c>
      <c r="D76" t="str">
        <f>[1]FINAL!M76</f>
        <v>CRY</v>
      </c>
    </row>
    <row r="77" spans="1:4" x14ac:dyDescent="0.3">
      <c r="A77" t="str">
        <f>[1]FINAL!A77</f>
        <v>Destiny Udogie</v>
      </c>
      <c r="B77">
        <f>[1]FINAL!J77</f>
        <v>0</v>
      </c>
      <c r="C77">
        <f>[1]FINAL!K77</f>
        <v>4.0884446574983242</v>
      </c>
      <c r="D77" t="str">
        <f>[1]FINAL!M77</f>
        <v>TOT</v>
      </c>
    </row>
    <row r="78" spans="1:4" x14ac:dyDescent="0.3">
      <c r="A78" t="str">
        <f>[1]FINAL!A78</f>
        <v>Harvey Barnes</v>
      </c>
      <c r="B78">
        <f>[1]FINAL!J78</f>
        <v>0</v>
      </c>
      <c r="C78">
        <f>[1]FINAL!K78</f>
        <v>4.0867857601211801</v>
      </c>
      <c r="D78" t="str">
        <f>[1]FINAL!M78</f>
        <v>NEW</v>
      </c>
    </row>
    <row r="79" spans="1:4" x14ac:dyDescent="0.3">
      <c r="A79" t="str">
        <f>[1]FINAL!A79</f>
        <v>Luke Shaw</v>
      </c>
      <c r="B79">
        <f>[1]FINAL!J79</f>
        <v>4.0797977739646907</v>
      </c>
      <c r="C79">
        <f>[1]FINAL!K79</f>
        <v>4.086013109611196</v>
      </c>
      <c r="D79" t="str">
        <f>[1]FINAL!M79</f>
        <v>MUN</v>
      </c>
    </row>
    <row r="80" spans="1:4" x14ac:dyDescent="0.3">
      <c r="A80" t="str">
        <f>[1]FINAL!A80</f>
        <v>William Saliba</v>
      </c>
      <c r="B80">
        <f>[1]FINAL!J80</f>
        <v>4.3225734833605758</v>
      </c>
      <c r="C80">
        <f>[1]FINAL!K80</f>
        <v>4.075820421498757</v>
      </c>
      <c r="D80" t="str">
        <f>[1]FINAL!M80</f>
        <v>ARS</v>
      </c>
    </row>
    <row r="81" spans="1:4" x14ac:dyDescent="0.3">
      <c r="A81" t="str">
        <f>[1]FINAL!A81</f>
        <v>Yoane Wissa</v>
      </c>
      <c r="B81">
        <f>[1]FINAL!J81</f>
        <v>5.1552446549124999</v>
      </c>
      <c r="C81">
        <f>[1]FINAL!K81</f>
        <v>4.0738185255198491</v>
      </c>
      <c r="D81" t="str">
        <f>[1]FINAL!M81</f>
        <v>BRE</v>
      </c>
    </row>
    <row r="82" spans="1:4" x14ac:dyDescent="0.3">
      <c r="A82" t="str">
        <f>[1]FINAL!A82</f>
        <v>Elliot Anderson</v>
      </c>
      <c r="B82">
        <f>[1]FINAL!J82</f>
        <v>0</v>
      </c>
      <c r="C82">
        <f>[1]FINAL!K82</f>
        <v>4.0727427233481848</v>
      </c>
      <c r="D82" t="str">
        <f>[1]FINAL!M82</f>
        <v>NEW</v>
      </c>
    </row>
    <row r="83" spans="1:4" x14ac:dyDescent="0.3">
      <c r="A83" t="str">
        <f>[1]FINAL!A83</f>
        <v>Moussa Diaby</v>
      </c>
      <c r="B83">
        <f>[1]FINAL!J83</f>
        <v>0</v>
      </c>
      <c r="C83">
        <f>[1]FINAL!K83</f>
        <v>4.0674884332354893</v>
      </c>
      <c r="D83" t="str">
        <f>[1]FINAL!M83</f>
        <v>AVL</v>
      </c>
    </row>
    <row r="84" spans="1:4" x14ac:dyDescent="0.3">
      <c r="A84" t="str">
        <f>[1]FINAL!A84</f>
        <v>Benjamin White</v>
      </c>
      <c r="B84">
        <f>[1]FINAL!J84</f>
        <v>4.2488864788353862</v>
      </c>
      <c r="C84">
        <f>[1]FINAL!K84</f>
        <v>4.066527287960592</v>
      </c>
      <c r="D84" t="str">
        <f>[1]FINAL!M84</f>
        <v>ARS</v>
      </c>
    </row>
    <row r="85" spans="1:4" x14ac:dyDescent="0.3">
      <c r="A85" t="str">
        <f>[1]FINAL!A85</f>
        <v>Morgan Gibbs-White</v>
      </c>
      <c r="B85">
        <f>[1]FINAL!J85</f>
        <v>0</v>
      </c>
      <c r="C85">
        <f>[1]FINAL!K85</f>
        <v>4.0471284220678045</v>
      </c>
      <c r="D85" t="str">
        <f>[1]FINAL!M85</f>
        <v>NFO</v>
      </c>
    </row>
    <row r="86" spans="1:4" x14ac:dyDescent="0.3">
      <c r="A86" t="str">
        <f>[1]FINAL!A86</f>
        <v>Christian Eriksen</v>
      </c>
      <c r="B86">
        <f>[1]FINAL!J86</f>
        <v>4.0448023766447383</v>
      </c>
      <c r="C86">
        <f>[1]FINAL!K86</f>
        <v>4.0263009845315239</v>
      </c>
      <c r="D86" t="str">
        <f>[1]FINAL!M86</f>
        <v>MUN</v>
      </c>
    </row>
    <row r="87" spans="1:4" x14ac:dyDescent="0.3">
      <c r="A87" t="str">
        <f>[1]FINAL!A87</f>
        <v>Virgil van Dijk</v>
      </c>
      <c r="B87">
        <f>[1]FINAL!J87</f>
        <v>3.9594598904669089</v>
      </c>
      <c r="C87">
        <f>[1]FINAL!K87</f>
        <v>4.019004401187301</v>
      </c>
      <c r="D87" t="str">
        <f>[1]FINAL!M87</f>
        <v>LIV</v>
      </c>
    </row>
    <row r="88" spans="1:4" x14ac:dyDescent="0.3">
      <c r="A88" t="str">
        <f>[1]FINAL!A88</f>
        <v>Emerson Leite de Souza Junior</v>
      </c>
      <c r="B88">
        <f>[1]FINAL!J88</f>
        <v>4.0521482974063412</v>
      </c>
      <c r="C88">
        <f>[1]FINAL!K88</f>
        <v>4.0170783227577402</v>
      </c>
      <c r="D88" t="str">
        <f>[1]FINAL!M88</f>
        <v>TOT</v>
      </c>
    </row>
    <row r="89" spans="1:4" x14ac:dyDescent="0.3">
      <c r="A89" t="str">
        <f>[1]FINAL!A89</f>
        <v>Jacob Ramsey</v>
      </c>
      <c r="B89">
        <f>[1]FINAL!J89</f>
        <v>4.2475513082022207</v>
      </c>
      <c r="C89">
        <f>[1]FINAL!K89</f>
        <v>4.0108966117889739</v>
      </c>
      <c r="D89" t="str">
        <f>[1]FINAL!M89</f>
        <v>AVL</v>
      </c>
    </row>
    <row r="90" spans="1:4" x14ac:dyDescent="0.3">
      <c r="A90" t="str">
        <f>[1]FINAL!A90</f>
        <v>Dominic Solanke</v>
      </c>
      <c r="B90">
        <f>[1]FINAL!J90</f>
        <v>3.9744471578947365</v>
      </c>
      <c r="C90">
        <f>[1]FINAL!K90</f>
        <v>4.0023955497382202</v>
      </c>
      <c r="D90" t="str">
        <f>[1]FINAL!M90</f>
        <v>BOU</v>
      </c>
    </row>
    <row r="91" spans="1:4" x14ac:dyDescent="0.3">
      <c r="A91" t="str">
        <f>[1]FINAL!A91</f>
        <v>Brennan Johnson</v>
      </c>
      <c r="B91">
        <f>[1]FINAL!J91</f>
        <v>3.5667116033437396</v>
      </c>
      <c r="C91">
        <f>[1]FINAL!K91</f>
        <v>3.9959290589379171</v>
      </c>
      <c r="D91" t="str">
        <f>[1]FINAL!M91</f>
        <v>NFO</v>
      </c>
    </row>
    <row r="92" spans="1:4" x14ac:dyDescent="0.3">
      <c r="A92" t="str">
        <f>[1]FINAL!A92</f>
        <v>Dwight McNeil</v>
      </c>
      <c r="B92">
        <f>[1]FINAL!J92</f>
        <v>4.2932207512536351</v>
      </c>
      <c r="C92">
        <f>[1]FINAL!K92</f>
        <v>3.9876340254545708</v>
      </c>
      <c r="D92" t="str">
        <f>[1]FINAL!M92</f>
        <v>EVE</v>
      </c>
    </row>
    <row r="93" spans="1:4" x14ac:dyDescent="0.3">
      <c r="A93" t="str">
        <f>[1]FINAL!A93</f>
        <v>Matt Doherty</v>
      </c>
      <c r="B93">
        <f>[1]FINAL!J93</f>
        <v>0</v>
      </c>
      <c r="C93">
        <f>[1]FINAL!K93</f>
        <v>3.9851755277634697</v>
      </c>
      <c r="D93" t="str">
        <f>[1]FINAL!M93</f>
        <v>WOL</v>
      </c>
    </row>
    <row r="94" spans="1:4" x14ac:dyDescent="0.3">
      <c r="A94" t="str">
        <f>[1]FINAL!A94</f>
        <v>Granit Xhaka</v>
      </c>
      <c r="B94">
        <f>[1]FINAL!J94</f>
        <v>4.2272781886858857</v>
      </c>
      <c r="C94">
        <f>[1]FINAL!K94</f>
        <v>3.959886895593721</v>
      </c>
      <c r="D94" t="str">
        <f>[1]FINAL!M94</f>
        <v>ARS</v>
      </c>
    </row>
    <row r="95" spans="1:4" x14ac:dyDescent="0.3">
      <c r="A95" t="str">
        <f>[1]FINAL!A95</f>
        <v>Levi Colwill</v>
      </c>
      <c r="B95">
        <f>[1]FINAL!J95</f>
        <v>3.271347716307162</v>
      </c>
      <c r="C95">
        <f>[1]FINAL!K95</f>
        <v>3.957783899945162</v>
      </c>
      <c r="D95" t="str">
        <f>[1]FINAL!M95</f>
        <v>CHE</v>
      </c>
    </row>
    <row r="96" spans="1:4" x14ac:dyDescent="0.3">
      <c r="A96" t="str">
        <f>[1]FINAL!A96</f>
        <v>Oleksandr Zinchenko</v>
      </c>
      <c r="B96">
        <f>[1]FINAL!J96</f>
        <v>3.795577900998957</v>
      </c>
      <c r="C96">
        <f>[1]FINAL!K96</f>
        <v>3.9553625551089118</v>
      </c>
      <c r="D96" t="str">
        <f>[1]FINAL!M96</f>
        <v>ARS</v>
      </c>
    </row>
    <row r="97" spans="1:4" x14ac:dyDescent="0.3">
      <c r="A97" t="str">
        <f>[1]FINAL!A97</f>
        <v>Jacob Murphy</v>
      </c>
      <c r="B97">
        <f>[1]FINAL!J97</f>
        <v>4.0700032593714539</v>
      </c>
      <c r="C97">
        <f>[1]FINAL!K97</f>
        <v>3.9414322600638276</v>
      </c>
      <c r="D97" t="str">
        <f>[1]FINAL!M97</f>
        <v>NEW</v>
      </c>
    </row>
    <row r="98" spans="1:4" x14ac:dyDescent="0.3">
      <c r="A98" t="str">
        <f>[1]FINAL!A98</f>
        <v>Konstantinos Tsimikas</v>
      </c>
      <c r="B98">
        <f>[1]FINAL!J98</f>
        <v>0</v>
      </c>
      <c r="C98">
        <f>[1]FINAL!K98</f>
        <v>3.9374671163342363</v>
      </c>
      <c r="D98" t="str">
        <f>[1]FINAL!M98</f>
        <v>LIV</v>
      </c>
    </row>
    <row r="99" spans="1:4" x14ac:dyDescent="0.3">
      <c r="A99" t="str">
        <f>[1]FINAL!A99</f>
        <v>Matt Targett</v>
      </c>
      <c r="B99">
        <f>[1]FINAL!J99</f>
        <v>0</v>
      </c>
      <c r="C99">
        <f>[1]FINAL!K99</f>
        <v>3.9237266947146647</v>
      </c>
      <c r="D99" t="str">
        <f>[1]FINAL!M99</f>
        <v>NEW</v>
      </c>
    </row>
    <row r="100" spans="1:4" x14ac:dyDescent="0.3">
      <c r="A100" t="str">
        <f>[1]FINAL!A100</f>
        <v>Aymeric Laporte</v>
      </c>
      <c r="B100">
        <f>[1]FINAL!J100</f>
        <v>0</v>
      </c>
      <c r="C100">
        <f>[1]FINAL!K100</f>
        <v>3.9175608703568594</v>
      </c>
      <c r="D100" t="str">
        <f>[1]FINAL!M100</f>
        <v>MCI</v>
      </c>
    </row>
    <row r="101" spans="1:4" x14ac:dyDescent="0.3">
      <c r="A101" t="str">
        <f>[1]FINAL!A101</f>
        <v>Ben Mee</v>
      </c>
      <c r="B101">
        <f>[1]FINAL!J101</f>
        <v>3.8516943333065017</v>
      </c>
      <c r="C101">
        <f>[1]FINAL!K101</f>
        <v>3.9076860778733438</v>
      </c>
      <c r="D101" t="str">
        <f>[1]FINAL!M101</f>
        <v>BRE</v>
      </c>
    </row>
    <row r="102" spans="1:4" x14ac:dyDescent="0.3">
      <c r="A102" t="str">
        <f>[1]FINAL!A102</f>
        <v>Dean Henderson</v>
      </c>
      <c r="B102">
        <f>[1]FINAL!J102</f>
        <v>4.5536503742690044</v>
      </c>
      <c r="C102">
        <f>[1]FINAL!K102</f>
        <v>3.8979443437085894</v>
      </c>
      <c r="D102" t="str">
        <f>[1]FINAL!M102</f>
        <v>MUN</v>
      </c>
    </row>
    <row r="103" spans="1:4" x14ac:dyDescent="0.3">
      <c r="A103" t="str">
        <f>[1]FINAL!A103</f>
        <v>Aaron Wan-Bissaka</v>
      </c>
      <c r="B103">
        <f>[1]FINAL!J103</f>
        <v>4.0603221260223723</v>
      </c>
      <c r="C103">
        <f>[1]FINAL!K103</f>
        <v>3.8946312719056122</v>
      </c>
      <c r="D103" t="str">
        <f>[1]FINAL!M103</f>
        <v>MUN</v>
      </c>
    </row>
    <row r="104" spans="1:4" x14ac:dyDescent="0.3">
      <c r="A104" t="str">
        <f>[1]FINAL!A104</f>
        <v>Antony Matheus dos Santos</v>
      </c>
      <c r="B104">
        <f>[1]FINAL!J104</f>
        <v>3.4767439378468383</v>
      </c>
      <c r="C104">
        <f>[1]FINAL!K104</f>
        <v>3.8856450034400587</v>
      </c>
      <c r="D104" t="str">
        <f>[1]FINAL!M104</f>
        <v>MUN</v>
      </c>
    </row>
    <row r="105" spans="1:4" x14ac:dyDescent="0.3">
      <c r="A105" t="str">
        <f>[1]FINAL!A105</f>
        <v>Reece James</v>
      </c>
      <c r="B105">
        <f>[1]FINAL!J105</f>
        <v>2.9641300693856834</v>
      </c>
      <c r="C105">
        <f>[1]FINAL!K105</f>
        <v>3.883222781356428</v>
      </c>
      <c r="D105" t="str">
        <f>[1]FINAL!M105</f>
        <v>CHE</v>
      </c>
    </row>
    <row r="106" spans="1:4" x14ac:dyDescent="0.3">
      <c r="A106" t="str">
        <f>[1]FINAL!A106</f>
        <v>Kurt Zouma</v>
      </c>
      <c r="B106">
        <f>[1]FINAL!J106</f>
        <v>3.6930991925061516</v>
      </c>
      <c r="C106">
        <f>[1]FINAL!K106</f>
        <v>3.864876737231195</v>
      </c>
      <c r="D106" t="str">
        <f>[1]FINAL!M106</f>
        <v>WHU</v>
      </c>
    </row>
    <row r="107" spans="1:4" x14ac:dyDescent="0.3">
      <c r="A107" t="str">
        <f>[1]FINAL!A107</f>
        <v>Ethan Pinnock</v>
      </c>
      <c r="B107">
        <f>[1]FINAL!J107</f>
        <v>3.7354660491228087</v>
      </c>
      <c r="C107">
        <f>[1]FINAL!K107</f>
        <v>3.8639844123668325</v>
      </c>
      <c r="D107" t="str">
        <f>[1]FINAL!M107</f>
        <v>BRE</v>
      </c>
    </row>
    <row r="108" spans="1:4" x14ac:dyDescent="0.3">
      <c r="A108" t="str">
        <f>[1]FINAL!A108</f>
        <v>Sven Botman</v>
      </c>
      <c r="B108">
        <f>[1]FINAL!J108</f>
        <v>3.6184781306111451</v>
      </c>
      <c r="C108">
        <f>[1]FINAL!K108</f>
        <v>3.8460911947596821</v>
      </c>
      <c r="D108" t="str">
        <f>[1]FINAL!M108</f>
        <v>NEW</v>
      </c>
    </row>
    <row r="109" spans="1:4" x14ac:dyDescent="0.3">
      <c r="A109" t="str">
        <f>[1]FINAL!A109</f>
        <v>Andreas Hoelgebaum Pereira</v>
      </c>
      <c r="B109">
        <f>[1]FINAL!J109</f>
        <v>3.7289086505044193</v>
      </c>
      <c r="C109">
        <f>[1]FINAL!K109</f>
        <v>3.8291229268015936</v>
      </c>
      <c r="D109" t="str">
        <f>[1]FINAL!M109</f>
        <v>FUL</v>
      </c>
    </row>
    <row r="110" spans="1:4" x14ac:dyDescent="0.3">
      <c r="A110" t="str">
        <f>[1]FINAL!A110</f>
        <v>Danny Ings</v>
      </c>
      <c r="B110">
        <f>[1]FINAL!J110</f>
        <v>0</v>
      </c>
      <c r="C110">
        <f>[1]FINAL!K110</f>
        <v>3.8254279381163481</v>
      </c>
      <c r="D110" t="str">
        <f>[1]FINAL!M110</f>
        <v>WHU</v>
      </c>
    </row>
    <row r="111" spans="1:4" x14ac:dyDescent="0.3">
      <c r="A111" t="str">
        <f>[1]FINAL!A111</f>
        <v>Abdoulaye Doucouré</v>
      </c>
      <c r="B111">
        <f>[1]FINAL!J111</f>
        <v>4.270490301369863</v>
      </c>
      <c r="C111">
        <f>[1]FINAL!K111</f>
        <v>3.8137871618070811</v>
      </c>
      <c r="D111" t="str">
        <f>[1]FINAL!M111</f>
        <v>EVE</v>
      </c>
    </row>
    <row r="112" spans="1:4" x14ac:dyDescent="0.3">
      <c r="A112" t="str">
        <f>[1]FINAL!A112</f>
        <v>Joelinton Cássio Apolinário de Lira</v>
      </c>
      <c r="B112">
        <f>[1]FINAL!J112</f>
        <v>3.6631514935026441</v>
      </c>
      <c r="C112">
        <f>[1]FINAL!K112</f>
        <v>3.7964967381778272</v>
      </c>
      <c r="D112" t="str">
        <f>[1]FINAL!M112</f>
        <v>NEW</v>
      </c>
    </row>
    <row r="113" spans="1:4" x14ac:dyDescent="0.3">
      <c r="A113" t="str">
        <f>[1]FINAL!A113</f>
        <v>Jason Steele</v>
      </c>
      <c r="B113">
        <f>[1]FINAL!J113</f>
        <v>4.3642140350877199</v>
      </c>
      <c r="C113">
        <f>[1]FINAL!K113</f>
        <v>3.7890658795294261</v>
      </c>
      <c r="D113" t="str">
        <f>[1]FINAL!M113</f>
        <v>BHA</v>
      </c>
    </row>
    <row r="114" spans="1:4" x14ac:dyDescent="0.3">
      <c r="A114" t="str">
        <f>[1]FINAL!A114</f>
        <v>David Raya Martin</v>
      </c>
      <c r="B114">
        <f>[1]FINAL!J114</f>
        <v>4.3709165706371209</v>
      </c>
      <c r="C114">
        <f>[1]FINAL!K114</f>
        <v>3.7881054649984116</v>
      </c>
      <c r="D114" t="str">
        <f>[1]FINAL!M114</f>
        <v>BRE</v>
      </c>
    </row>
    <row r="115" spans="1:4" x14ac:dyDescent="0.3">
      <c r="A115" t="str">
        <f>[1]FINAL!A115</f>
        <v>Leon Bailey</v>
      </c>
      <c r="B115">
        <f>[1]FINAL!J115</f>
        <v>3.5993998876194047</v>
      </c>
      <c r="C115">
        <f>[1]FINAL!K115</f>
        <v>3.7786673968170774</v>
      </c>
      <c r="D115" t="str">
        <f>[1]FINAL!M115</f>
        <v>AVL</v>
      </c>
    </row>
    <row r="116" spans="1:4" x14ac:dyDescent="0.3">
      <c r="A116" t="str">
        <f>[1]FINAL!A116</f>
        <v>Chris Richards</v>
      </c>
      <c r="B116">
        <f>[1]FINAL!J116</f>
        <v>0</v>
      </c>
      <c r="C116">
        <f>[1]FINAL!K116</f>
        <v>3.7747862188795338</v>
      </c>
      <c r="D116" t="str">
        <f>[1]FINAL!M116</f>
        <v>CRY</v>
      </c>
    </row>
    <row r="117" spans="1:4" x14ac:dyDescent="0.3">
      <c r="A117" t="str">
        <f>[1]FINAL!A117</f>
        <v>Chris Wood</v>
      </c>
      <c r="B117">
        <f>[1]FINAL!J117</f>
        <v>0</v>
      </c>
      <c r="C117">
        <f>[1]FINAL!K117</f>
        <v>3.7616356877323422</v>
      </c>
      <c r="D117" t="str">
        <f>[1]FINAL!M117</f>
        <v>NFO</v>
      </c>
    </row>
    <row r="118" spans="1:4" x14ac:dyDescent="0.3">
      <c r="A118" t="str">
        <f>[1]FINAL!A118</f>
        <v>Rúben Gato Alves Dias</v>
      </c>
      <c r="B118">
        <f>[1]FINAL!J118</f>
        <v>3.4283857752489335</v>
      </c>
      <c r="C118">
        <f>[1]FINAL!K118</f>
        <v>3.7469591239097544</v>
      </c>
      <c r="D118" t="str">
        <f>[1]FINAL!M118</f>
        <v>MCI</v>
      </c>
    </row>
    <row r="119" spans="1:4" x14ac:dyDescent="0.3">
      <c r="A119" t="str">
        <f>[1]FINAL!A119</f>
        <v>Ryan Sessegnon</v>
      </c>
      <c r="B119">
        <f>[1]FINAL!J119</f>
        <v>0</v>
      </c>
      <c r="C119">
        <f>[1]FINAL!K119</f>
        <v>3.7419082174696907</v>
      </c>
      <c r="D119" t="str">
        <f>[1]FINAL!M119</f>
        <v>TOT</v>
      </c>
    </row>
    <row r="120" spans="1:4" x14ac:dyDescent="0.3">
      <c r="A120" t="str">
        <f>[1]FINAL!A120</f>
        <v>Nayef Aguerd</v>
      </c>
      <c r="B120">
        <f>[1]FINAL!J120</f>
        <v>3.2944774851674632</v>
      </c>
      <c r="C120">
        <f>[1]FINAL!K120</f>
        <v>3.7403306468298636</v>
      </c>
      <c r="D120" t="str">
        <f>[1]FINAL!M120</f>
        <v>WHU</v>
      </c>
    </row>
    <row r="121" spans="1:4" x14ac:dyDescent="0.3">
      <c r="A121" t="str">
        <f>[1]FINAL!A121</f>
        <v>Alisson Ramses Becker</v>
      </c>
      <c r="B121">
        <f>[1]FINAL!J121</f>
        <v>4.3481906116642977</v>
      </c>
      <c r="C121">
        <f>[1]FINAL!K121</f>
        <v>3.73938552775257</v>
      </c>
      <c r="D121" t="str">
        <f>[1]FINAL!M121</f>
        <v>LIV</v>
      </c>
    </row>
    <row r="122" spans="1:4" x14ac:dyDescent="0.3">
      <c r="A122" t="str">
        <f>[1]FINAL!A122</f>
        <v>Douglas Luiz Soares de Paulo</v>
      </c>
      <c r="B122">
        <f>[1]FINAL!J122</f>
        <v>4.2198837960908433</v>
      </c>
      <c r="C122">
        <f>[1]FINAL!K122</f>
        <v>3.7347587590708784</v>
      </c>
      <c r="D122" t="str">
        <f>[1]FINAL!M122</f>
        <v>AVL</v>
      </c>
    </row>
    <row r="123" spans="1:4" x14ac:dyDescent="0.3">
      <c r="A123" t="str">
        <f>[1]FINAL!A123</f>
        <v>Nick Pope</v>
      </c>
      <c r="B123">
        <f>[1]FINAL!J123</f>
        <v>4.1754726393905637</v>
      </c>
      <c r="C123">
        <f>[1]FINAL!K123</f>
        <v>3.7131401081963533</v>
      </c>
      <c r="D123" t="str">
        <f>[1]FINAL!M123</f>
        <v>NEW</v>
      </c>
    </row>
    <row r="124" spans="1:4" x14ac:dyDescent="0.3">
      <c r="A124" t="str">
        <f>[1]FINAL!A124</f>
        <v>Daniel Castelo Podence</v>
      </c>
      <c r="B124">
        <f>[1]FINAL!J124</f>
        <v>3.8141342009569392</v>
      </c>
      <c r="C124">
        <f>[1]FINAL!K124</f>
        <v>3.7128220261226459</v>
      </c>
      <c r="D124" t="str">
        <f>[1]FINAL!M124</f>
        <v>WOL</v>
      </c>
    </row>
    <row r="125" spans="1:4" x14ac:dyDescent="0.3">
      <c r="A125" t="str">
        <f>[1]FINAL!A125</f>
        <v>Kepa Arrizabalaga</v>
      </c>
      <c r="B125">
        <f>[1]FINAL!J125</f>
        <v>3.9913824666461473</v>
      </c>
      <c r="C125">
        <f>[1]FINAL!K125</f>
        <v>3.7074635002176231</v>
      </c>
      <c r="D125" t="str">
        <f>[1]FINAL!M125</f>
        <v>CHE</v>
      </c>
    </row>
    <row r="126" spans="1:4" x14ac:dyDescent="0.3">
      <c r="A126" t="str">
        <f>[1]FINAL!A126</f>
        <v>Tyrone Mings</v>
      </c>
      <c r="B126">
        <f>[1]FINAL!J126</f>
        <v>3.7728564812030054</v>
      </c>
      <c r="C126">
        <f>[1]FINAL!K126</f>
        <v>3.7072495346109844</v>
      </c>
      <c r="D126" t="str">
        <f>[1]FINAL!M126</f>
        <v>AVL</v>
      </c>
    </row>
    <row r="127" spans="1:4" x14ac:dyDescent="0.3">
      <c r="A127" t="str">
        <f>[1]FINAL!A127</f>
        <v>Dan Burn</v>
      </c>
      <c r="B127">
        <f>[1]FINAL!J127</f>
        <v>3.5553557942445311</v>
      </c>
      <c r="C127">
        <f>[1]FINAL!K127</f>
        <v>3.6953629933205452</v>
      </c>
      <c r="D127" t="str">
        <f>[1]FINAL!M127</f>
        <v>NEW</v>
      </c>
    </row>
    <row r="128" spans="1:4" x14ac:dyDescent="0.3">
      <c r="A128" t="str">
        <f>[1]FINAL!A128</f>
        <v>Kieran Tierney</v>
      </c>
      <c r="B128">
        <f>[1]FINAL!J128</f>
        <v>0</v>
      </c>
      <c r="C128">
        <f>[1]FINAL!K128</f>
        <v>3.6940897648723432</v>
      </c>
      <c r="D128" t="str">
        <f>[1]FINAL!M128</f>
        <v>ARS</v>
      </c>
    </row>
    <row r="129" spans="1:4" x14ac:dyDescent="0.3">
      <c r="A129" t="str">
        <f>[1]FINAL!A129</f>
        <v>Sam Johnstone</v>
      </c>
      <c r="B129">
        <f>[1]FINAL!J129</f>
        <v>0</v>
      </c>
      <c r="C129">
        <f>[1]FINAL!K129</f>
        <v>3.6879841120322805</v>
      </c>
      <c r="D129" t="str">
        <f>[1]FINAL!M129</f>
        <v>CRY</v>
      </c>
    </row>
    <row r="130" spans="1:4" x14ac:dyDescent="0.3">
      <c r="A130" t="str">
        <f>[1]FINAL!A130</f>
        <v>Bernardo Veiga de Carvalho e Silva</v>
      </c>
      <c r="B130">
        <f>[1]FINAL!J130</f>
        <v>4.0078166081871354</v>
      </c>
      <c r="C130">
        <f>[1]FINAL!K130</f>
        <v>3.6602705785152789</v>
      </c>
      <c r="D130" t="str">
        <f>[1]FINAL!M130</f>
        <v>MCI</v>
      </c>
    </row>
    <row r="131" spans="1:4" x14ac:dyDescent="0.3">
      <c r="A131" t="str">
        <f>[1]FINAL!A131</f>
        <v>Leandro Trossard</v>
      </c>
      <c r="B131">
        <f>[1]FINAL!J131</f>
        <v>0</v>
      </c>
      <c r="C131">
        <f>[1]FINAL!K131</f>
        <v>3.6532838165448434</v>
      </c>
      <c r="D131" t="str">
        <f>[1]FINAL!M131</f>
        <v>ARS</v>
      </c>
    </row>
    <row r="132" spans="1:4" x14ac:dyDescent="0.3">
      <c r="A132" t="str">
        <f>[1]FINAL!A132</f>
        <v>Cole Palmer</v>
      </c>
      <c r="B132">
        <f>[1]FINAL!J132</f>
        <v>0</v>
      </c>
      <c r="C132">
        <f>[1]FINAL!K132</f>
        <v>3.6476813518500677</v>
      </c>
      <c r="D132" t="str">
        <f>[1]FINAL!M132</f>
        <v>MCI</v>
      </c>
    </row>
    <row r="133" spans="1:4" x14ac:dyDescent="0.3">
      <c r="A133" t="str">
        <f>[1]FINAL!A133</f>
        <v>Demarai Gray</v>
      </c>
      <c r="B133">
        <f>[1]FINAL!J133</f>
        <v>3.2011979197615106</v>
      </c>
      <c r="C133">
        <f>[1]FINAL!K133</f>
        <v>3.6432913716253044</v>
      </c>
      <c r="D133" t="str">
        <f>[1]FINAL!M133</f>
        <v>EVE</v>
      </c>
    </row>
    <row r="134" spans="1:4" x14ac:dyDescent="0.3">
      <c r="A134" t="str">
        <f>[1]FINAL!A134</f>
        <v>Kieffer Moore</v>
      </c>
      <c r="B134">
        <f>[1]FINAL!J134</f>
        <v>3.8081978045347928</v>
      </c>
      <c r="C134">
        <f>[1]FINAL!K134</f>
        <v>3.6348253217756765</v>
      </c>
      <c r="D134" t="str">
        <f>[1]FINAL!M134</f>
        <v>BOU</v>
      </c>
    </row>
    <row r="135" spans="1:4" x14ac:dyDescent="0.3">
      <c r="A135" t="str">
        <f>[1]FINAL!A135</f>
        <v>Ben Davies</v>
      </c>
      <c r="B135">
        <f>[1]FINAL!J135</f>
        <v>0</v>
      </c>
      <c r="C135">
        <f>[1]FINAL!K135</f>
        <v>3.6135065327791311</v>
      </c>
      <c r="D135" t="str">
        <f>[1]FINAL!M135</f>
        <v>TOT</v>
      </c>
    </row>
    <row r="136" spans="1:4" x14ac:dyDescent="0.3">
      <c r="A136" t="str">
        <f>[1]FINAL!A136</f>
        <v>Rico Lewis</v>
      </c>
      <c r="B136">
        <f>[1]FINAL!J136</f>
        <v>0</v>
      </c>
      <c r="C136">
        <f>[1]FINAL!K136</f>
        <v>3.5930112616335803</v>
      </c>
      <c r="D136" t="str">
        <f>[1]FINAL!M136</f>
        <v>MCI</v>
      </c>
    </row>
    <row r="137" spans="1:4" x14ac:dyDescent="0.3">
      <c r="A137" t="str">
        <f>[1]FINAL!A137</f>
        <v>João Pedro Junqueira de Jesus</v>
      </c>
      <c r="B137">
        <f>[1]FINAL!J137</f>
        <v>0</v>
      </c>
      <c r="C137">
        <f>[1]FINAL!K137</f>
        <v>3.590961111111111</v>
      </c>
      <c r="D137" t="str">
        <f>[1]FINAL!M137</f>
        <v>BHA</v>
      </c>
    </row>
    <row r="138" spans="1:4" x14ac:dyDescent="0.3">
      <c r="A138" t="str">
        <f>[1]FINAL!A138</f>
        <v>Dejan Kulusevski</v>
      </c>
      <c r="B138">
        <f>[1]FINAL!J138</f>
        <v>3.7523028303414581</v>
      </c>
      <c r="C138">
        <f>[1]FINAL!K138</f>
        <v>3.5825524841727656</v>
      </c>
      <c r="D138" t="str">
        <f>[1]FINAL!M138</f>
        <v>TOT</v>
      </c>
    </row>
    <row r="139" spans="1:4" x14ac:dyDescent="0.3">
      <c r="A139" t="str">
        <f>[1]FINAL!A139</f>
        <v>Carlos Henrique Casimiro</v>
      </c>
      <c r="B139">
        <f>[1]FINAL!J139</f>
        <v>3.5001262845673522</v>
      </c>
      <c r="C139">
        <f>[1]FINAL!K139</f>
        <v>3.5606092842100345</v>
      </c>
      <c r="D139" t="str">
        <f>[1]FINAL!M139</f>
        <v>MUN</v>
      </c>
    </row>
    <row r="140" spans="1:4" x14ac:dyDescent="0.3">
      <c r="A140" t="str">
        <f>[1]FINAL!A140</f>
        <v>James Tarkowski</v>
      </c>
      <c r="B140">
        <f>[1]FINAL!J140</f>
        <v>2.8723730249307478</v>
      </c>
      <c r="C140">
        <f>[1]FINAL!K140</f>
        <v>3.5591329210538296</v>
      </c>
      <c r="D140" t="str">
        <f>[1]FINAL!M140</f>
        <v>EVE</v>
      </c>
    </row>
    <row r="141" spans="1:4" x14ac:dyDescent="0.3">
      <c r="A141" t="str">
        <f>[1]FINAL!A141</f>
        <v>Joël Veltman</v>
      </c>
      <c r="B141">
        <f>[1]FINAL!J141</f>
        <v>3.4545169104204763</v>
      </c>
      <c r="C141">
        <f>[1]FINAL!K141</f>
        <v>3.556365395516885</v>
      </c>
      <c r="D141" t="str">
        <f>[1]FINAL!M141</f>
        <v>BHA</v>
      </c>
    </row>
    <row r="142" spans="1:4" x14ac:dyDescent="0.3">
      <c r="A142" t="str">
        <f>[1]FINAL!A142</f>
        <v>Mason Mount</v>
      </c>
      <c r="B142">
        <f>[1]FINAL!J142</f>
        <v>3.851655342616251</v>
      </c>
      <c r="C142">
        <f>[1]FINAL!K142</f>
        <v>3.5539074834729982</v>
      </c>
      <c r="D142" t="str">
        <f>[1]FINAL!M142</f>
        <v>MUN</v>
      </c>
    </row>
    <row r="143" spans="1:4" x14ac:dyDescent="0.3">
      <c r="A143" t="str">
        <f>[1]FINAL!A143</f>
        <v>Mads Roerslev Rasmussen</v>
      </c>
      <c r="B143">
        <f>[1]FINAL!J143</f>
        <v>0</v>
      </c>
      <c r="C143">
        <f>[1]FINAL!K143</f>
        <v>3.5522155294996729</v>
      </c>
      <c r="D143" t="str">
        <f>[1]FINAL!M143</f>
        <v>BRE</v>
      </c>
    </row>
    <row r="144" spans="1:4" x14ac:dyDescent="0.3">
      <c r="A144" t="str">
        <f>[1]FINAL!A144</f>
        <v>Aaron Ramsdale</v>
      </c>
      <c r="B144">
        <f>[1]FINAL!J144</f>
        <v>3.7725594515235459</v>
      </c>
      <c r="C144">
        <f>[1]FINAL!K144</f>
        <v>3.5505825924249614</v>
      </c>
      <c r="D144" t="str">
        <f>[1]FINAL!M144</f>
        <v>ARS</v>
      </c>
    </row>
    <row r="145" spans="1:4" x14ac:dyDescent="0.3">
      <c r="A145" t="str">
        <f>[1]FINAL!A145</f>
        <v>Takehiro Tomiyasu</v>
      </c>
      <c r="B145">
        <f>[1]FINAL!J145</f>
        <v>0</v>
      </c>
      <c r="C145">
        <f>[1]FINAL!K145</f>
        <v>3.5472009801761688</v>
      </c>
      <c r="D145" t="str">
        <f>[1]FINAL!M145</f>
        <v>ARS</v>
      </c>
    </row>
    <row r="146" spans="1:4" x14ac:dyDescent="0.3">
      <c r="A146" t="str">
        <f>[1]FINAL!A146</f>
        <v>Philip Billing</v>
      </c>
      <c r="B146">
        <f>[1]FINAL!J146</f>
        <v>3.5782965819178911</v>
      </c>
      <c r="C146">
        <f>[1]FINAL!K146</f>
        <v>3.5338729968113212</v>
      </c>
      <c r="D146" t="str">
        <f>[1]FINAL!M146</f>
        <v>BOU</v>
      </c>
    </row>
    <row r="147" spans="1:4" x14ac:dyDescent="0.3">
      <c r="A147" t="str">
        <f>[1]FINAL!A147</f>
        <v>Adam Webster</v>
      </c>
      <c r="B147">
        <f>[1]FINAL!J147</f>
        <v>3.2344736842105273</v>
      </c>
      <c r="C147">
        <f>[1]FINAL!K147</f>
        <v>3.5308106161546071</v>
      </c>
      <c r="D147" t="str">
        <f>[1]FINAL!M147</f>
        <v>BHA</v>
      </c>
    </row>
    <row r="148" spans="1:4" x14ac:dyDescent="0.3">
      <c r="A148" t="str">
        <f>[1]FINAL!A148</f>
        <v>Vicente Guaita</v>
      </c>
      <c r="B148">
        <f>[1]FINAL!J148</f>
        <v>3.7545454736842112</v>
      </c>
      <c r="C148">
        <f>[1]FINAL!K148</f>
        <v>3.5153915194396874</v>
      </c>
      <c r="D148" t="str">
        <f>[1]FINAL!M148</f>
        <v>CRY</v>
      </c>
    </row>
    <row r="149" spans="1:4" x14ac:dyDescent="0.3">
      <c r="A149" t="str">
        <f>[1]FINAL!A149</f>
        <v>Hugo Lloris</v>
      </c>
      <c r="B149">
        <f>[1]FINAL!J149</f>
        <v>3.5410869551020419</v>
      </c>
      <c r="C149">
        <f>[1]FINAL!K149</f>
        <v>3.5151615585079647</v>
      </c>
      <c r="D149" t="str">
        <f>[1]FINAL!M149</f>
        <v>TOT</v>
      </c>
    </row>
    <row r="150" spans="1:4" x14ac:dyDescent="0.3">
      <c r="A150" t="str">
        <f>[1]FINAL!A150</f>
        <v>Aaron Cresswell</v>
      </c>
      <c r="B150">
        <f>[1]FINAL!J150</f>
        <v>2.965965503073118</v>
      </c>
      <c r="C150">
        <f>[1]FINAL!K150</f>
        <v>3.5145379392674863</v>
      </c>
      <c r="D150" t="str">
        <f>[1]FINAL!M150</f>
        <v>WHU</v>
      </c>
    </row>
    <row r="151" spans="1:4" x14ac:dyDescent="0.3">
      <c r="A151" t="str">
        <f>[1]FINAL!A151</f>
        <v>Tyrell Malacia</v>
      </c>
      <c r="B151">
        <f>[1]FINAL!J151</f>
        <v>3.7290988249132857</v>
      </c>
      <c r="C151">
        <f>[1]FINAL!K151</f>
        <v>3.5130899325440685</v>
      </c>
      <c r="D151" t="str">
        <f>[1]FINAL!M151</f>
        <v>MUN</v>
      </c>
    </row>
    <row r="152" spans="1:4" x14ac:dyDescent="0.3">
      <c r="A152" t="str">
        <f>[1]FINAL!A152</f>
        <v>Hakim Ziyech</v>
      </c>
      <c r="B152">
        <f>[1]FINAL!J152</f>
        <v>0</v>
      </c>
      <c r="C152">
        <f>[1]FINAL!K152</f>
        <v>3.5101482517597145</v>
      </c>
      <c r="D152" t="str">
        <f>[1]FINAL!M152</f>
        <v>CHE</v>
      </c>
    </row>
    <row r="153" spans="1:4" x14ac:dyDescent="0.3">
      <c r="A153" t="str">
        <f>[1]FINAL!A153</f>
        <v>Rob Holding</v>
      </c>
      <c r="B153">
        <f>[1]FINAL!J153</f>
        <v>0</v>
      </c>
      <c r="C153">
        <f>[1]FINAL!K153</f>
        <v>3.5069630007411257</v>
      </c>
      <c r="D153" t="str">
        <f>[1]FINAL!M153</f>
        <v>ARS</v>
      </c>
    </row>
    <row r="154" spans="1:4" x14ac:dyDescent="0.3">
      <c r="A154" t="str">
        <f>[1]FINAL!A154</f>
        <v>José Malheiro de Sá</v>
      </c>
      <c r="B154">
        <f>[1]FINAL!J154</f>
        <v>4.0714047017543846</v>
      </c>
      <c r="C154">
        <f>[1]FINAL!K154</f>
        <v>3.5018086080609319</v>
      </c>
      <c r="D154" t="str">
        <f>[1]FINAL!M154</f>
        <v>WOL</v>
      </c>
    </row>
    <row r="155" spans="1:4" x14ac:dyDescent="0.3">
      <c r="A155" t="str">
        <f>[1]FINAL!A155</f>
        <v>Diego Carlos Santos Silva</v>
      </c>
      <c r="B155">
        <f>[1]FINAL!J155</f>
        <v>0</v>
      </c>
      <c r="C155">
        <f>[1]FINAL!K155</f>
        <v>3.4994412141373785</v>
      </c>
      <c r="D155" t="str">
        <f>[1]FINAL!M155</f>
        <v>AVL</v>
      </c>
    </row>
    <row r="156" spans="1:4" x14ac:dyDescent="0.3">
      <c r="A156" t="str">
        <f>[1]FINAL!A156</f>
        <v>Harry Maguire</v>
      </c>
      <c r="B156">
        <f>[1]FINAL!J156</f>
        <v>0</v>
      </c>
      <c r="C156">
        <f>[1]FINAL!K156</f>
        <v>3.4973319202615203</v>
      </c>
      <c r="D156" t="str">
        <f>[1]FINAL!M156</f>
        <v>MUN</v>
      </c>
    </row>
    <row r="157" spans="1:4" x14ac:dyDescent="0.3">
      <c r="A157" t="str">
        <f>[1]FINAL!A157</f>
        <v>Mason Holgate</v>
      </c>
      <c r="B157">
        <f>[1]FINAL!J157</f>
        <v>0</v>
      </c>
      <c r="C157">
        <f>[1]FINAL!K157</f>
        <v>3.4850955582011256</v>
      </c>
      <c r="D157" t="str">
        <f>[1]FINAL!M157</f>
        <v>EVE</v>
      </c>
    </row>
    <row r="158" spans="1:4" x14ac:dyDescent="0.3">
      <c r="A158" t="str">
        <f>[1]FINAL!A158</f>
        <v>Tom Cairney</v>
      </c>
      <c r="B158">
        <f>[1]FINAL!J158</f>
        <v>0</v>
      </c>
      <c r="C158">
        <f>[1]FINAL!K158</f>
        <v>3.4845457093438466</v>
      </c>
      <c r="D158" t="str">
        <f>[1]FINAL!M158</f>
        <v>FUL</v>
      </c>
    </row>
    <row r="159" spans="1:4" x14ac:dyDescent="0.3">
      <c r="A159" t="str">
        <f>[1]FINAL!A159</f>
        <v>Victor Lindelöf</v>
      </c>
      <c r="B159">
        <f>[1]FINAL!J159</f>
        <v>3.7566700219780214</v>
      </c>
      <c r="C159">
        <f>[1]FINAL!K159</f>
        <v>3.4833719244641634</v>
      </c>
      <c r="D159" t="str">
        <f>[1]FINAL!M159</f>
        <v>MUN</v>
      </c>
    </row>
    <row r="160" spans="1:4" x14ac:dyDescent="0.3">
      <c r="A160" t="str">
        <f>[1]FINAL!A160</f>
        <v>James Tomkins</v>
      </c>
      <c r="B160">
        <f>[1]FINAL!J160</f>
        <v>0</v>
      </c>
      <c r="C160">
        <f>[1]FINAL!K160</f>
        <v>3.4729955007403119</v>
      </c>
      <c r="D160" t="str">
        <f>[1]FINAL!M160</f>
        <v>CRY</v>
      </c>
    </row>
    <row r="161" spans="1:4" x14ac:dyDescent="0.3">
      <c r="A161" t="str">
        <f>[1]FINAL!A161</f>
        <v>Pablo Fornals Malla</v>
      </c>
      <c r="B161">
        <f>[1]FINAL!J161</f>
        <v>3.5882768988339109</v>
      </c>
      <c r="C161">
        <f>[1]FINAL!K161</f>
        <v>3.4643400364225152</v>
      </c>
      <c r="D161" t="str">
        <f>[1]FINAL!M161</f>
        <v>WHU</v>
      </c>
    </row>
    <row r="162" spans="1:4" x14ac:dyDescent="0.3">
      <c r="A162" t="str">
        <f>[1]FINAL!A162</f>
        <v>Robert Sánchez</v>
      </c>
      <c r="B162">
        <f>[1]FINAL!J162</f>
        <v>3.5150544073226553</v>
      </c>
      <c r="C162">
        <f>[1]FINAL!K162</f>
        <v>3.4631203420644008</v>
      </c>
      <c r="D162" t="str">
        <f>[1]FINAL!M162</f>
        <v>CHE</v>
      </c>
    </row>
    <row r="163" spans="1:4" x14ac:dyDescent="0.3">
      <c r="A163" t="str">
        <f>[1]FINAL!A163</f>
        <v>Harry Wilson</v>
      </c>
      <c r="B163">
        <f>[1]FINAL!J163</f>
        <v>0</v>
      </c>
      <c r="C163">
        <f>[1]FINAL!K163</f>
        <v>3.4591853886703143</v>
      </c>
      <c r="D163" t="str">
        <f>[1]FINAL!M163</f>
        <v>FUL</v>
      </c>
    </row>
    <row r="164" spans="1:4" x14ac:dyDescent="0.3">
      <c r="A164" t="str">
        <f>[1]FINAL!A164</f>
        <v>Armando Broja</v>
      </c>
      <c r="B164">
        <f>[1]FINAL!J164</f>
        <v>0</v>
      </c>
      <c r="C164">
        <f>[1]FINAL!K164</f>
        <v>3.4570175438596489</v>
      </c>
      <c r="D164" t="str">
        <f>[1]FINAL!M164</f>
        <v>CHE</v>
      </c>
    </row>
    <row r="165" spans="1:4" x14ac:dyDescent="0.3">
      <c r="A165" t="str">
        <f>[1]FINAL!A165</f>
        <v>Hwang Hee-chan</v>
      </c>
      <c r="B165">
        <f>[1]FINAL!J165</f>
        <v>0</v>
      </c>
      <c r="C165">
        <f>[1]FINAL!K165</f>
        <v>3.4483671862009926</v>
      </c>
      <c r="D165" t="str">
        <f>[1]FINAL!M165</f>
        <v>WOL</v>
      </c>
    </row>
    <row r="166" spans="1:4" x14ac:dyDescent="0.3">
      <c r="A166" t="str">
        <f>[1]FINAL!A166</f>
        <v>Emiliano Martínez Romero</v>
      </c>
      <c r="B166">
        <f>[1]FINAL!J166</f>
        <v>3.800639542261194</v>
      </c>
      <c r="C166">
        <f>[1]FINAL!K166</f>
        <v>3.4448151979205583</v>
      </c>
      <c r="D166" t="str">
        <f>[1]FINAL!M166</f>
        <v>AVL</v>
      </c>
    </row>
    <row r="167" spans="1:4" x14ac:dyDescent="0.3">
      <c r="A167" t="str">
        <f>[1]FINAL!A167</f>
        <v>Emerson Palmieri dos Santos</v>
      </c>
      <c r="B167">
        <f>[1]FINAL!J167</f>
        <v>1.8763256317912933</v>
      </c>
      <c r="C167">
        <f>[1]FINAL!K167</f>
        <v>3.4204235879708871</v>
      </c>
      <c r="D167" t="str">
        <f>[1]FINAL!M167</f>
        <v>WHU</v>
      </c>
    </row>
    <row r="168" spans="1:4" x14ac:dyDescent="0.3">
      <c r="A168" t="str">
        <f>[1]FINAL!A168</f>
        <v>Lewis Dunk</v>
      </c>
      <c r="B168">
        <f>[1]FINAL!J168</f>
        <v>3.1342492322191715</v>
      </c>
      <c r="C168">
        <f>[1]FINAL!K168</f>
        <v>3.4197111445897019</v>
      </c>
      <c r="D168" t="str">
        <f>[1]FINAL!M168</f>
        <v>BHA</v>
      </c>
    </row>
    <row r="169" spans="1:4" x14ac:dyDescent="0.3">
      <c r="A169" t="str">
        <f>[1]FINAL!A169</f>
        <v>André Onana</v>
      </c>
      <c r="B169">
        <f>[1]FINAL!J169</f>
        <v>0</v>
      </c>
      <c r="C169">
        <f>[1]FINAL!K169</f>
        <v>3.4101665659308118</v>
      </c>
      <c r="D169" t="str">
        <f>[1]FINAL!M169</f>
        <v>MUN</v>
      </c>
    </row>
    <row r="170" spans="1:4" x14ac:dyDescent="0.3">
      <c r="A170" t="str">
        <f>[1]FINAL!A170</f>
        <v>Jean-Philippe Mateta</v>
      </c>
      <c r="B170">
        <f>[1]FINAL!J170</f>
        <v>0</v>
      </c>
      <c r="C170">
        <f>[1]FINAL!K170</f>
        <v>3.4056149732620318</v>
      </c>
      <c r="D170" t="str">
        <f>[1]FINAL!M170</f>
        <v>CRY</v>
      </c>
    </row>
    <row r="171" spans="1:4" x14ac:dyDescent="0.3">
      <c r="A171" t="str">
        <f>[1]FINAL!A171</f>
        <v>Curtis Jones</v>
      </c>
      <c r="B171">
        <f>[1]FINAL!J171</f>
        <v>0</v>
      </c>
      <c r="C171">
        <f>[1]FINAL!K171</f>
        <v>3.4052150194034283</v>
      </c>
      <c r="D171" t="str">
        <f>[1]FINAL!M171</f>
        <v>LIV</v>
      </c>
    </row>
    <row r="172" spans="1:4" x14ac:dyDescent="0.3">
      <c r="A172" t="str">
        <f>[1]FINAL!A172</f>
        <v>Raúl Jiménez</v>
      </c>
      <c r="B172">
        <f>[1]FINAL!J172</f>
        <v>0</v>
      </c>
      <c r="C172">
        <f>[1]FINAL!K172</f>
        <v>3.4035756853396899</v>
      </c>
      <c r="D172" t="str">
        <f>[1]FINAL!M172</f>
        <v>FUL</v>
      </c>
    </row>
    <row r="173" spans="1:4" x14ac:dyDescent="0.3">
      <c r="A173" t="str">
        <f>[1]FINAL!A173</f>
        <v>Jaidon Anthony</v>
      </c>
      <c r="B173">
        <f>[1]FINAL!J173</f>
        <v>3.6645857247414475</v>
      </c>
      <c r="C173">
        <f>[1]FINAL!K173</f>
        <v>3.398548286419965</v>
      </c>
      <c r="D173" t="str">
        <f>[1]FINAL!M173</f>
        <v>BOU</v>
      </c>
    </row>
    <row r="174" spans="1:4" x14ac:dyDescent="0.3">
      <c r="A174" t="str">
        <f>[1]FINAL!A174</f>
        <v>Frederico Rodrigues de Paula Santos</v>
      </c>
      <c r="B174">
        <f>[1]FINAL!J174</f>
        <v>3.6928444859466536</v>
      </c>
      <c r="C174">
        <f>[1]FINAL!K174</f>
        <v>3.3979142046269644</v>
      </c>
      <c r="D174" t="str">
        <f>[1]FINAL!M174</f>
        <v>MUN</v>
      </c>
    </row>
    <row r="175" spans="1:4" x14ac:dyDescent="0.3">
      <c r="A175" t="str">
        <f>[1]FINAL!A175</f>
        <v>Rico Henry</v>
      </c>
      <c r="B175">
        <f>[1]FINAL!J175</f>
        <v>3.0455930727869718</v>
      </c>
      <c r="C175">
        <f>[1]FINAL!K175</f>
        <v>3.3977961833679711</v>
      </c>
      <c r="D175" t="str">
        <f>[1]FINAL!M175</f>
        <v>BRE</v>
      </c>
    </row>
    <row r="176" spans="1:4" x14ac:dyDescent="0.3">
      <c r="A176" t="str">
        <f>[1]FINAL!A176</f>
        <v>Eric Dier</v>
      </c>
      <c r="B176">
        <f>[1]FINAL!J176</f>
        <v>3.0566468133427973</v>
      </c>
      <c r="C176">
        <f>[1]FINAL!K176</f>
        <v>3.3963283101465773</v>
      </c>
      <c r="D176" t="str">
        <f>[1]FINAL!M176</f>
        <v>TOT</v>
      </c>
    </row>
    <row r="177" spans="1:4" x14ac:dyDescent="0.3">
      <c r="A177" t="str">
        <f>[1]FINAL!A177</f>
        <v>Angelo Ogbonna</v>
      </c>
      <c r="B177">
        <f>[1]FINAL!J177</f>
        <v>3.1863602828575068</v>
      </c>
      <c r="C177">
        <f>[1]FINAL!K177</f>
        <v>3.3942891729932536</v>
      </c>
      <c r="D177" t="str">
        <f>[1]FINAL!M177</f>
        <v>WHU</v>
      </c>
    </row>
    <row r="178" spans="1:4" x14ac:dyDescent="0.3">
      <c r="A178" t="str">
        <f>[1]FINAL!A178</f>
        <v>Raphaël Varane</v>
      </c>
      <c r="B178">
        <f>[1]FINAL!J178</f>
        <v>3.4234760921534604</v>
      </c>
      <c r="C178">
        <f>[1]FINAL!K178</f>
        <v>3.3889258925768702</v>
      </c>
      <c r="D178" t="str">
        <f>[1]FINAL!M178</f>
        <v>MUN</v>
      </c>
    </row>
    <row r="179" spans="1:4" x14ac:dyDescent="0.3">
      <c r="A179" t="str">
        <f>[1]FINAL!A179</f>
        <v>Michail Antonio</v>
      </c>
      <c r="B179">
        <f>[1]FINAL!J179</f>
        <v>3.4886079134413395</v>
      </c>
      <c r="C179">
        <f>[1]FINAL!K179</f>
        <v>3.3818331503841925</v>
      </c>
      <c r="D179" t="str">
        <f>[1]FINAL!M179</f>
        <v>WHU</v>
      </c>
    </row>
    <row r="180" spans="1:4" x14ac:dyDescent="0.3">
      <c r="A180" t="str">
        <f>[1]FINAL!A180</f>
        <v>Rodrigo Hernandez</v>
      </c>
      <c r="B180">
        <f>[1]FINAL!J180</f>
        <v>2.6928050508958763</v>
      </c>
      <c r="C180">
        <f>[1]FINAL!K180</f>
        <v>3.3752968540060602</v>
      </c>
      <c r="D180" t="str">
        <f>[1]FINAL!M180</f>
        <v>MCI</v>
      </c>
    </row>
    <row r="181" spans="1:4" x14ac:dyDescent="0.3">
      <c r="A181" t="str">
        <f>[1]FINAL!A181</f>
        <v>Maxwel Cornet</v>
      </c>
      <c r="B181">
        <f>[1]FINAL!J181</f>
        <v>0</v>
      </c>
      <c r="C181">
        <f>[1]FINAL!K181</f>
        <v>3.3741029497953847</v>
      </c>
      <c r="D181" t="str">
        <f>[1]FINAL!M181</f>
        <v>WHU</v>
      </c>
    </row>
    <row r="182" spans="1:4" x14ac:dyDescent="0.3">
      <c r="A182" t="str">
        <f>[1]FINAL!A182</f>
        <v>Rodrigo Bentancur</v>
      </c>
      <c r="B182">
        <f>[1]FINAL!J182</f>
        <v>4.0602020538947388</v>
      </c>
      <c r="C182">
        <f>[1]FINAL!K182</f>
        <v>3.368786700450265</v>
      </c>
      <c r="D182" t="str">
        <f>[1]FINAL!M182</f>
        <v>TOT</v>
      </c>
    </row>
    <row r="183" spans="1:4" x14ac:dyDescent="0.3">
      <c r="A183" t="str">
        <f>[1]FINAL!A183</f>
        <v>Bernd Leno</v>
      </c>
      <c r="B183">
        <f>[1]FINAL!J183</f>
        <v>3.9039727836257305</v>
      </c>
      <c r="C183">
        <f>[1]FINAL!K183</f>
        <v>3.3659958667691612</v>
      </c>
      <c r="D183" t="str">
        <f>[1]FINAL!M183</f>
        <v>FUL</v>
      </c>
    </row>
    <row r="184" spans="1:4" x14ac:dyDescent="0.3">
      <c r="A184" t="str">
        <f>[1]FINAL!A184</f>
        <v>Alex Iwobi</v>
      </c>
      <c r="B184">
        <f>[1]FINAL!J184</f>
        <v>3.404300769187623</v>
      </c>
      <c r="C184">
        <f>[1]FINAL!K184</f>
        <v>3.3641592534418772</v>
      </c>
      <c r="D184" t="str">
        <f>[1]FINAL!M184</f>
        <v>EVE</v>
      </c>
    </row>
    <row r="185" spans="1:4" x14ac:dyDescent="0.3">
      <c r="A185" t="str">
        <f>[1]FINAL!A185</f>
        <v>Kyle Walker</v>
      </c>
      <c r="B185">
        <f>[1]FINAL!J185</f>
        <v>2.9480256491586476</v>
      </c>
      <c r="C185">
        <f>[1]FINAL!K185</f>
        <v>3.3583972326213827</v>
      </c>
      <c r="D185" t="str">
        <f>[1]FINAL!M185</f>
        <v>MCI</v>
      </c>
    </row>
    <row r="186" spans="1:4" x14ac:dyDescent="0.3">
      <c r="A186" t="str">
        <f>[1]FINAL!A186</f>
        <v>Joel Matip</v>
      </c>
      <c r="B186">
        <f>[1]FINAL!J186</f>
        <v>0</v>
      </c>
      <c r="C186">
        <f>[1]FINAL!K186</f>
        <v>3.3555258434113941</v>
      </c>
      <c r="D186" t="str">
        <f>[1]FINAL!M186</f>
        <v>LIV</v>
      </c>
    </row>
    <row r="187" spans="1:4" x14ac:dyDescent="0.3">
      <c r="A187" t="str">
        <f>[1]FINAL!A187</f>
        <v>Sean Longstaff</v>
      </c>
      <c r="B187">
        <f>[1]FINAL!J187</f>
        <v>3.1306112150829848</v>
      </c>
      <c r="C187">
        <f>[1]FINAL!K187</f>
        <v>3.3517627446193208</v>
      </c>
      <c r="D187" t="str">
        <f>[1]FINAL!M187</f>
        <v>NEW</v>
      </c>
    </row>
    <row r="188" spans="1:4" x14ac:dyDescent="0.3">
      <c r="A188" t="str">
        <f>[1]FINAL!A188</f>
        <v>Robin Olsen</v>
      </c>
      <c r="B188">
        <f>[1]FINAL!J188</f>
        <v>0</v>
      </c>
      <c r="C188">
        <f>[1]FINAL!K188</f>
        <v>3.3454495346109843</v>
      </c>
      <c r="D188" t="str">
        <f>[1]FINAL!M188</f>
        <v>AVL</v>
      </c>
    </row>
    <row r="189" spans="1:4" x14ac:dyDescent="0.3">
      <c r="A189" t="str">
        <f>[1]FINAL!A189</f>
        <v>Lukasz Fabianski</v>
      </c>
      <c r="B189">
        <f>[1]FINAL!J189</f>
        <v>3.5738094440440533</v>
      </c>
      <c r="C189">
        <f>[1]FINAL!K189</f>
        <v>3.3433823322534755</v>
      </c>
      <c r="D189" t="str">
        <f>[1]FINAL!M189</f>
        <v>WHU</v>
      </c>
    </row>
    <row r="190" spans="1:4" x14ac:dyDescent="0.3">
      <c r="A190" t="str">
        <f>[1]FINAL!A190</f>
        <v>Bertrand Traoré</v>
      </c>
      <c r="B190">
        <f>[1]FINAL!J190</f>
        <v>0</v>
      </c>
      <c r="C190">
        <f>[1]FINAL!K190</f>
        <v>3.3343817888317484</v>
      </c>
      <c r="D190" t="str">
        <f>[1]FINAL!M190</f>
        <v>AVL</v>
      </c>
    </row>
    <row r="191" spans="1:4" x14ac:dyDescent="0.3">
      <c r="A191" t="str">
        <f>[1]FINAL!A191</f>
        <v>Ashley Young</v>
      </c>
      <c r="B191">
        <f>[1]FINAL!J191</f>
        <v>3.608061256229965</v>
      </c>
      <c r="C191">
        <f>[1]FINAL!K191</f>
        <v>3.3261365038155022</v>
      </c>
      <c r="D191" t="str">
        <f>[1]FINAL!M191</f>
        <v>EVE</v>
      </c>
    </row>
    <row r="192" spans="1:4" x14ac:dyDescent="0.3">
      <c r="A192" t="str">
        <f>[1]FINAL!A192</f>
        <v>Dominic Calvert-Lewin</v>
      </c>
      <c r="B192">
        <f>[1]FINAL!J192</f>
        <v>2.640719945787215</v>
      </c>
      <c r="C192">
        <f>[1]FINAL!K192</f>
        <v>3.3193310463121781</v>
      </c>
      <c r="D192" t="str">
        <f>[1]FINAL!M192</f>
        <v>EVE</v>
      </c>
    </row>
    <row r="193" spans="1:4" x14ac:dyDescent="0.3">
      <c r="A193" t="str">
        <f>[1]FINAL!A193</f>
        <v>Joel Ward</v>
      </c>
      <c r="B193">
        <f>[1]FINAL!J193</f>
        <v>3.1508770162374029</v>
      </c>
      <c r="C193">
        <f>[1]FINAL!K193</f>
        <v>3.3088798896966649</v>
      </c>
      <c r="D193" t="str">
        <f>[1]FINAL!M193</f>
        <v>CRY</v>
      </c>
    </row>
    <row r="194" spans="1:4" x14ac:dyDescent="0.3">
      <c r="A194" t="str">
        <f>[1]FINAL!A194</f>
        <v>Adam Lallana</v>
      </c>
      <c r="B194">
        <f>[1]FINAL!J194</f>
        <v>0</v>
      </c>
      <c r="C194">
        <f>[1]FINAL!K194</f>
        <v>3.3078895225564073</v>
      </c>
      <c r="D194" t="str">
        <f>[1]FINAL!M194</f>
        <v>BHA</v>
      </c>
    </row>
    <row r="195" spans="1:4" x14ac:dyDescent="0.3">
      <c r="A195" t="str">
        <f>[1]FINAL!A195</f>
        <v>Carney Chukwuemeka</v>
      </c>
      <c r="B195">
        <f>[1]FINAL!J195</f>
        <v>0</v>
      </c>
      <c r="C195">
        <f>[1]FINAL!K195</f>
        <v>3.3068876109090661</v>
      </c>
      <c r="D195" t="str">
        <f>[1]FINAL!M195</f>
        <v>CHE</v>
      </c>
    </row>
    <row r="196" spans="1:4" x14ac:dyDescent="0.3">
      <c r="A196" t="str">
        <f>[1]FINAL!A196</f>
        <v>Gianluca Scamacca</v>
      </c>
      <c r="B196">
        <f>[1]FINAL!J196</f>
        <v>0</v>
      </c>
      <c r="C196">
        <f>[1]FINAL!K196</f>
        <v>3.3058541111440136</v>
      </c>
      <c r="D196" t="str">
        <f>[1]FINAL!M196</f>
        <v>WHU</v>
      </c>
    </row>
    <row r="197" spans="1:4" x14ac:dyDescent="0.3">
      <c r="A197" t="str">
        <f>[1]FINAL!A197</f>
        <v>Mathias Jensen</v>
      </c>
      <c r="B197">
        <f>[1]FINAL!J197</f>
        <v>3.5593853214413129</v>
      </c>
      <c r="C197">
        <f>[1]FINAL!K197</f>
        <v>3.3029717470433075</v>
      </c>
      <c r="D197" t="str">
        <f>[1]FINAL!M197</f>
        <v>BRE</v>
      </c>
    </row>
    <row r="198" spans="1:4" x14ac:dyDescent="0.3">
      <c r="A198" t="str">
        <f>[1]FINAL!A198</f>
        <v>Josh Dasilva</v>
      </c>
      <c r="B198">
        <f>[1]FINAL!J198</f>
        <v>3.9436854236671604</v>
      </c>
      <c r="C198">
        <f>[1]FINAL!K198</f>
        <v>3.2888714298879429</v>
      </c>
      <c r="D198" t="str">
        <f>[1]FINAL!M198</f>
        <v>BRE</v>
      </c>
    </row>
    <row r="199" spans="1:4" x14ac:dyDescent="0.3">
      <c r="A199" t="str">
        <f>[1]FINAL!A199</f>
        <v>Kalvin Phillips</v>
      </c>
      <c r="B199">
        <f>[1]FINAL!J199</f>
        <v>0</v>
      </c>
      <c r="C199">
        <f>[1]FINAL!K199</f>
        <v>3.2850101544763426</v>
      </c>
      <c r="D199" t="str">
        <f>[1]FINAL!M199</f>
        <v>MCI</v>
      </c>
    </row>
    <row r="200" spans="1:4" x14ac:dyDescent="0.3">
      <c r="A200" t="str">
        <f>[1]FINAL!A200</f>
        <v>Davinson Sánchez</v>
      </c>
      <c r="B200">
        <f>[1]FINAL!J200</f>
        <v>0</v>
      </c>
      <c r="C200">
        <f>[1]FINAL!K200</f>
        <v>3.2799989948003567</v>
      </c>
      <c r="D200" t="str">
        <f>[1]FINAL!M200</f>
        <v>TOT</v>
      </c>
    </row>
    <row r="201" spans="1:4" x14ac:dyDescent="0.3">
      <c r="A201" t="str">
        <f>[1]FINAL!A201</f>
        <v>Lisandro Martínez</v>
      </c>
      <c r="B201">
        <f>[1]FINAL!J201</f>
        <v>3.3320969112682364</v>
      </c>
      <c r="C201">
        <f>[1]FINAL!K201</f>
        <v>3.2756646964829912</v>
      </c>
      <c r="D201" t="str">
        <f>[1]FINAL!M201</f>
        <v>MUN</v>
      </c>
    </row>
    <row r="202" spans="1:4" x14ac:dyDescent="0.3">
      <c r="A202" t="str">
        <f>[1]FINAL!A202</f>
        <v>Seamus Coleman</v>
      </c>
      <c r="B202">
        <f>[1]FINAL!J202</f>
        <v>3.0164040348970249</v>
      </c>
      <c r="C202">
        <f>[1]FINAL!K202</f>
        <v>3.2734353258119944</v>
      </c>
      <c r="D202" t="str">
        <f>[1]FINAL!M202</f>
        <v>EVE</v>
      </c>
    </row>
    <row r="203" spans="1:4" x14ac:dyDescent="0.3">
      <c r="A203" t="str">
        <f>[1]FINAL!A203</f>
        <v>Youri Tielemans</v>
      </c>
      <c r="B203">
        <f>[1]FINAL!J203</f>
        <v>3.0429240657445664</v>
      </c>
      <c r="C203">
        <f>[1]FINAL!K203</f>
        <v>3.2709032833295937</v>
      </c>
      <c r="D203" t="str">
        <f>[1]FINAL!M203</f>
        <v>AVL</v>
      </c>
    </row>
    <row r="204" spans="1:4" x14ac:dyDescent="0.3">
      <c r="A204" t="str">
        <f>[1]FINAL!A204</f>
        <v>Ezri Konsa Ngoyo</v>
      </c>
      <c r="B204">
        <f>[1]FINAL!J204</f>
        <v>3.0271263157894719</v>
      </c>
      <c r="C204">
        <f>[1]FINAL!K204</f>
        <v>3.2599047161378079</v>
      </c>
      <c r="D204" t="str">
        <f>[1]FINAL!M204</f>
        <v>AVL</v>
      </c>
    </row>
    <row r="205" spans="1:4" x14ac:dyDescent="0.3">
      <c r="A205" t="str">
        <f>[1]FINAL!A205</f>
        <v>Emmanuel Dennis</v>
      </c>
      <c r="B205">
        <f>[1]FINAL!J205</f>
        <v>0</v>
      </c>
      <c r="C205">
        <f>[1]FINAL!K205</f>
        <v>3.2563610719322993</v>
      </c>
      <c r="D205" t="str">
        <f>[1]FINAL!M205</f>
        <v>NFO</v>
      </c>
    </row>
    <row r="206" spans="1:4" x14ac:dyDescent="0.3">
      <c r="A206" t="str">
        <f>[1]FINAL!A206</f>
        <v>Issa Diop</v>
      </c>
      <c r="B206">
        <f>[1]FINAL!J206</f>
        <v>3.4586774252380454</v>
      </c>
      <c r="C206">
        <f>[1]FINAL!K206</f>
        <v>3.254225237530826</v>
      </c>
      <c r="D206" t="str">
        <f>[1]FINAL!M206</f>
        <v>FUL</v>
      </c>
    </row>
    <row r="207" spans="1:4" x14ac:dyDescent="0.3">
      <c r="A207" t="str">
        <f>[1]FINAL!A207</f>
        <v>Keane Lewis-Potter</v>
      </c>
      <c r="B207">
        <f>[1]FINAL!J207</f>
        <v>0</v>
      </c>
      <c r="C207">
        <f>[1]FINAL!K207</f>
        <v>3.2482541010568138</v>
      </c>
      <c r="D207" t="str">
        <f>[1]FINAL!M207</f>
        <v>BRE</v>
      </c>
    </row>
    <row r="208" spans="1:4" x14ac:dyDescent="0.3">
      <c r="A208" t="str">
        <f>[1]FINAL!A208</f>
        <v>Declan Rice</v>
      </c>
      <c r="B208">
        <f>[1]FINAL!J208</f>
        <v>3.1779899232958688</v>
      </c>
      <c r="C208">
        <f>[1]FINAL!K208</f>
        <v>3.2298401854888166</v>
      </c>
      <c r="D208" t="str">
        <f>[1]FINAL!M208</f>
        <v>ARS</v>
      </c>
    </row>
    <row r="209" spans="1:4" x14ac:dyDescent="0.3">
      <c r="A209" t="str">
        <f>[1]FINAL!A209</f>
        <v>Tariq Lamptey</v>
      </c>
      <c r="B209">
        <f>[1]FINAL!J209</f>
        <v>0</v>
      </c>
      <c r="C209">
        <f>[1]FINAL!K209</f>
        <v>3.2294860636369807</v>
      </c>
      <c r="D209" t="str">
        <f>[1]FINAL!M209</f>
        <v>BHA</v>
      </c>
    </row>
    <row r="210" spans="1:4" x14ac:dyDescent="0.3">
      <c r="A210" t="str">
        <f>[1]FINAL!A210</f>
        <v>Christian Nørgaard</v>
      </c>
      <c r="B210">
        <f>[1]FINAL!J210</f>
        <v>3.3242578898408821</v>
      </c>
      <c r="C210">
        <f>[1]FINAL!K210</f>
        <v>3.2203961228024469</v>
      </c>
      <c r="D210" t="str">
        <f>[1]FINAL!M210</f>
        <v>BRE</v>
      </c>
    </row>
    <row r="211" spans="1:4" x14ac:dyDescent="0.3">
      <c r="A211" t="str">
        <f>[1]FINAL!A211</f>
        <v>Tyrick Mitchell</v>
      </c>
      <c r="B211">
        <f>[1]FINAL!J211</f>
        <v>2.7669421628647899</v>
      </c>
      <c r="C211">
        <f>[1]FINAL!K211</f>
        <v>3.2046192422395223</v>
      </c>
      <c r="D211" t="str">
        <f>[1]FINAL!M211</f>
        <v>CRY</v>
      </c>
    </row>
    <row r="212" spans="1:4" x14ac:dyDescent="0.3">
      <c r="A212" t="str">
        <f>[1]FINAL!A212</f>
        <v>Lucas Digne</v>
      </c>
      <c r="B212">
        <f>[1]FINAL!J212</f>
        <v>2.5360412432546067</v>
      </c>
      <c r="C212">
        <f>[1]FINAL!K212</f>
        <v>3.2034192292527282</v>
      </c>
      <c r="D212" t="str">
        <f>[1]FINAL!M212</f>
        <v>AVL</v>
      </c>
    </row>
    <row r="213" spans="1:4" x14ac:dyDescent="0.3">
      <c r="A213" t="str">
        <f>[1]FINAL!A213</f>
        <v>Mykhailo Mudryk</v>
      </c>
      <c r="B213">
        <f>[1]FINAL!J213</f>
        <v>0</v>
      </c>
      <c r="C213">
        <f>[1]FINAL!K213</f>
        <v>3.1814567236971203</v>
      </c>
      <c r="D213" t="str">
        <f>[1]FINAL!M213</f>
        <v>CHE</v>
      </c>
    </row>
    <row r="214" spans="1:4" x14ac:dyDescent="0.3">
      <c r="A214" t="str">
        <f>[1]FINAL!A214</f>
        <v>Max Kilman</v>
      </c>
      <c r="B214">
        <f>[1]FINAL!J214</f>
        <v>2.9051420255598166</v>
      </c>
      <c r="C214">
        <f>[1]FINAL!K214</f>
        <v>3.1806744380681105</v>
      </c>
      <c r="D214" t="str">
        <f>[1]FINAL!M214</f>
        <v>WOL</v>
      </c>
    </row>
    <row r="215" spans="1:4" x14ac:dyDescent="0.3">
      <c r="A215" t="str">
        <f>[1]FINAL!A215</f>
        <v>Pierre-Emile Højbjerg</v>
      </c>
      <c r="B215">
        <f>[1]FINAL!J215</f>
        <v>3.4022818685807472</v>
      </c>
      <c r="C215">
        <f>[1]FINAL!K215</f>
        <v>3.1795873480386145</v>
      </c>
      <c r="D215" t="str">
        <f>[1]FINAL!M215</f>
        <v>TOT</v>
      </c>
    </row>
    <row r="216" spans="1:4" x14ac:dyDescent="0.3">
      <c r="A216" t="str">
        <f>[1]FINAL!A216</f>
        <v>César Azpilicueta</v>
      </c>
      <c r="B216">
        <f>[1]FINAL!J216</f>
        <v>2.3825024961224281</v>
      </c>
      <c r="C216">
        <f>[1]FINAL!K216</f>
        <v>3.1654678449201041</v>
      </c>
      <c r="D216" t="str">
        <f>[1]FINAL!M216</f>
        <v>CHE</v>
      </c>
    </row>
    <row r="217" spans="1:4" x14ac:dyDescent="0.3">
      <c r="A217" t="str">
        <f>[1]FINAL!A217</f>
        <v>Craig Dawson</v>
      </c>
      <c r="B217">
        <f>[1]FINAL!J217</f>
        <v>0</v>
      </c>
      <c r="C217">
        <f>[1]FINAL!K217</f>
        <v>3.159045929731243</v>
      </c>
      <c r="D217" t="str">
        <f>[1]FINAL!M217</f>
        <v>WOL</v>
      </c>
    </row>
    <row r="218" spans="1:4" x14ac:dyDescent="0.3">
      <c r="A218" t="str">
        <f>[1]FINAL!A218</f>
        <v>Mohamed Elneny</v>
      </c>
      <c r="B218">
        <f>[1]FINAL!J218</f>
        <v>0</v>
      </c>
      <c r="C218">
        <f>[1]FINAL!K218</f>
        <v>3.1514596594860413</v>
      </c>
      <c r="D218" t="str">
        <f>[1]FINAL!M218</f>
        <v>ARS</v>
      </c>
    </row>
    <row r="219" spans="1:4" x14ac:dyDescent="0.3">
      <c r="A219" t="str">
        <f>[1]FINAL!A219</f>
        <v>Anthony Elanga</v>
      </c>
      <c r="B219">
        <f>[1]FINAL!J219</f>
        <v>0</v>
      </c>
      <c r="C219">
        <f>[1]FINAL!K219</f>
        <v>3.1412176643000764</v>
      </c>
      <c r="D219" t="str">
        <f>[1]FINAL!M219</f>
        <v>NFO</v>
      </c>
    </row>
    <row r="220" spans="1:4" x14ac:dyDescent="0.3">
      <c r="A220" t="str">
        <f>[1]FINAL!A220</f>
        <v>Marc Cucurella Saseta</v>
      </c>
      <c r="B220">
        <f>[1]FINAL!J220</f>
        <v>2.9530694932123849</v>
      </c>
      <c r="C220">
        <f>[1]FINAL!K220</f>
        <v>3.1388751722971175</v>
      </c>
      <c r="D220" t="str">
        <f>[1]FINAL!M220</f>
        <v>CHE</v>
      </c>
    </row>
    <row r="221" spans="1:4" x14ac:dyDescent="0.3">
      <c r="A221" t="str">
        <f>[1]FINAL!A221</f>
        <v>Jordan Pickford</v>
      </c>
      <c r="B221">
        <f>[1]FINAL!J221</f>
        <v>3.4509489274537692</v>
      </c>
      <c r="C221">
        <f>[1]FINAL!K221</f>
        <v>3.127184841395223</v>
      </c>
      <c r="D221" t="str">
        <f>[1]FINAL!M221</f>
        <v>EVE</v>
      </c>
    </row>
    <row r="222" spans="1:4" x14ac:dyDescent="0.3">
      <c r="A222" t="str">
        <f>[1]FINAL!A222</f>
        <v>Jordan Ayew</v>
      </c>
      <c r="B222">
        <f>[1]FINAL!J222</f>
        <v>3.1698201909785539</v>
      </c>
      <c r="C222">
        <f>[1]FINAL!K222</f>
        <v>3.1266943625332906</v>
      </c>
      <c r="D222" t="str">
        <f>[1]FINAL!M222</f>
        <v>CRY</v>
      </c>
    </row>
    <row r="223" spans="1:4" x14ac:dyDescent="0.3">
      <c r="A223" t="str">
        <f>[1]FINAL!A223</f>
        <v>Harvey Elliott</v>
      </c>
      <c r="B223">
        <f>[1]FINAL!J223</f>
        <v>2.7679421855320259</v>
      </c>
      <c r="C223">
        <f>[1]FINAL!K223</f>
        <v>3.1246200599234544</v>
      </c>
      <c r="D223" t="str">
        <f>[1]FINAL!M223</f>
        <v>LIV</v>
      </c>
    </row>
    <row r="224" spans="1:4" x14ac:dyDescent="0.3">
      <c r="A224" t="str">
        <f>[1]FINAL!A224</f>
        <v>Joachim Andersen</v>
      </c>
      <c r="B224">
        <f>[1]FINAL!J224</f>
        <v>2.5617577116046775</v>
      </c>
      <c r="C224">
        <f>[1]FINAL!K224</f>
        <v>3.1229476261566624</v>
      </c>
      <c r="D224" t="str">
        <f>[1]FINAL!M224</f>
        <v>CRY</v>
      </c>
    </row>
    <row r="225" spans="1:4" x14ac:dyDescent="0.3">
      <c r="A225" t="str">
        <f>[1]FINAL!A225</f>
        <v>Ibrahima Konaté</v>
      </c>
      <c r="B225">
        <f>[1]FINAL!J225</f>
        <v>2.8219034861638641</v>
      </c>
      <c r="C225">
        <f>[1]FINAL!K225</f>
        <v>3.1088695049599511</v>
      </c>
      <c r="D225" t="str">
        <f>[1]FINAL!M225</f>
        <v>LIV</v>
      </c>
    </row>
    <row r="226" spans="1:4" x14ac:dyDescent="0.3">
      <c r="A226" t="str">
        <f>[1]FINAL!A226</f>
        <v>Rayan Aït-Nouri</v>
      </c>
      <c r="B226">
        <f>[1]FINAL!J226</f>
        <v>0</v>
      </c>
      <c r="C226">
        <f>[1]FINAL!K226</f>
        <v>3.1072422576740872</v>
      </c>
      <c r="D226" t="str">
        <f>[1]FINAL!M226</f>
        <v>WOL</v>
      </c>
    </row>
    <row r="227" spans="1:4" x14ac:dyDescent="0.3">
      <c r="A227" t="str">
        <f>[1]FINAL!A227</f>
        <v>Kristoffer Ajer</v>
      </c>
      <c r="B227">
        <f>[1]FINAL!J227</f>
        <v>0</v>
      </c>
      <c r="C227">
        <f>[1]FINAL!K227</f>
        <v>3.1067251000342226</v>
      </c>
      <c r="D227" t="str">
        <f>[1]FINAL!M227</f>
        <v>BRE</v>
      </c>
    </row>
    <row r="228" spans="1:4" x14ac:dyDescent="0.3">
      <c r="A228" t="str">
        <f>[1]FINAL!A228</f>
        <v>Ben Johnson</v>
      </c>
      <c r="B228">
        <f>[1]FINAL!J228</f>
        <v>0</v>
      </c>
      <c r="C228">
        <f>[1]FINAL!K228</f>
        <v>3.1034559397087156</v>
      </c>
      <c r="D228" t="str">
        <f>[1]FINAL!M228</f>
        <v>WHU</v>
      </c>
    </row>
    <row r="229" spans="1:4" x14ac:dyDescent="0.3">
      <c r="A229" t="str">
        <f>[1]FINAL!A229</f>
        <v>Odsonne Edouard</v>
      </c>
      <c r="B229">
        <f>[1]FINAL!J229</f>
        <v>3.4409365793852373</v>
      </c>
      <c r="C229">
        <f>[1]FINAL!K229</f>
        <v>3.1013338926174496</v>
      </c>
      <c r="D229" t="str">
        <f>[1]FINAL!M229</f>
        <v>CRY</v>
      </c>
    </row>
    <row r="230" spans="1:4" x14ac:dyDescent="0.3">
      <c r="A230" t="str">
        <f>[1]FINAL!A230</f>
        <v>Norberto Murara Neto</v>
      </c>
      <c r="B230">
        <f>[1]FINAL!J230</f>
        <v>3.4108412462098632</v>
      </c>
      <c r="C230">
        <f>[1]FINAL!K230</f>
        <v>3.0986392083146193</v>
      </c>
      <c r="D230" t="str">
        <f>[1]FINAL!M230</f>
        <v>BOU</v>
      </c>
    </row>
    <row r="231" spans="1:4" x14ac:dyDescent="0.3">
      <c r="A231" t="str">
        <f>[1]FINAL!A231</f>
        <v>Trevoh Chalobah</v>
      </c>
      <c r="B231">
        <f>[1]FINAL!J231</f>
        <v>2.5837739903116002</v>
      </c>
      <c r="C231">
        <f>[1]FINAL!K231</f>
        <v>3.0910902352550678</v>
      </c>
      <c r="D231" t="str">
        <f>[1]FINAL!M231</f>
        <v>CHE</v>
      </c>
    </row>
    <row r="232" spans="1:4" x14ac:dyDescent="0.3">
      <c r="A232" t="str">
        <f>[1]FINAL!A232</f>
        <v>George Baldock</v>
      </c>
      <c r="B232">
        <f>[1]FINAL!J232</f>
        <v>0</v>
      </c>
      <c r="C232">
        <f>[1]FINAL!K232</f>
        <v>3.075985190603582</v>
      </c>
      <c r="D232" t="str">
        <f>[1]FINAL!M232</f>
        <v>SHU</v>
      </c>
    </row>
    <row r="233" spans="1:4" x14ac:dyDescent="0.3">
      <c r="A233" t="str">
        <f>[1]FINAL!A233</f>
        <v>Christian Pulisic</v>
      </c>
      <c r="B233">
        <f>[1]FINAL!J233</f>
        <v>0</v>
      </c>
      <c r="C233">
        <f>[1]FINAL!K233</f>
        <v>3.0744927106148521</v>
      </c>
      <c r="D233" t="str">
        <f>[1]FINAL!M233</f>
        <v>CHE</v>
      </c>
    </row>
    <row r="234" spans="1:4" x14ac:dyDescent="0.3">
      <c r="A234" t="str">
        <f>[1]FINAL!A234</f>
        <v>Calum Chambers</v>
      </c>
      <c r="B234">
        <f>[1]FINAL!J234</f>
        <v>0</v>
      </c>
      <c r="C234">
        <f>[1]FINAL!K234</f>
        <v>3.0731203420644002</v>
      </c>
      <c r="D234" t="str">
        <f>[1]FINAL!M234</f>
        <v>AVL</v>
      </c>
    </row>
    <row r="235" spans="1:4" x14ac:dyDescent="0.3">
      <c r="A235" t="str">
        <f>[1]FINAL!A235</f>
        <v>Tim Ream</v>
      </c>
      <c r="B235">
        <f>[1]FINAL!J235</f>
        <v>2.9463286602837777</v>
      </c>
      <c r="C235">
        <f>[1]FINAL!K235</f>
        <v>3.069901603505973</v>
      </c>
      <c r="D235" t="str">
        <f>[1]FINAL!M235</f>
        <v>FUL</v>
      </c>
    </row>
    <row r="236" spans="1:4" x14ac:dyDescent="0.3">
      <c r="A236" t="str">
        <f>[1]FINAL!A236</f>
        <v>Jan Paul van Hecke</v>
      </c>
      <c r="B236">
        <f>[1]FINAL!J236</f>
        <v>0</v>
      </c>
      <c r="C236">
        <f>[1]FINAL!K236</f>
        <v>3.0645271205811082</v>
      </c>
      <c r="D236" t="str">
        <f>[1]FINAL!M236</f>
        <v>BHA</v>
      </c>
    </row>
    <row r="237" spans="1:4" x14ac:dyDescent="0.3">
      <c r="A237" t="str">
        <f>[1]FINAL!A237</f>
        <v>Wesley Fofana</v>
      </c>
      <c r="B237">
        <f>[1]FINAL!J237</f>
        <v>0</v>
      </c>
      <c r="C237">
        <f>[1]FINAL!K237</f>
        <v>3.0543136000609525</v>
      </c>
      <c r="D237" t="str">
        <f>[1]FINAL!M237</f>
        <v>CHE</v>
      </c>
    </row>
    <row r="238" spans="1:4" x14ac:dyDescent="0.3">
      <c r="A238" t="str">
        <f>[1]FINAL!A238</f>
        <v>Matty Cash</v>
      </c>
      <c r="B238">
        <f>[1]FINAL!J238</f>
        <v>2.7040665164835147</v>
      </c>
      <c r="C238">
        <f>[1]FINAL!K238</f>
        <v>3.0507106108458326</v>
      </c>
      <c r="D238" t="str">
        <f>[1]FINAL!M238</f>
        <v>AVL</v>
      </c>
    </row>
    <row r="239" spans="1:4" x14ac:dyDescent="0.3">
      <c r="A239" t="str">
        <f>[1]FINAL!A239</f>
        <v>Marc Guéhi</v>
      </c>
      <c r="B239">
        <f>[1]FINAL!J239</f>
        <v>2.6298940823069996</v>
      </c>
      <c r="C239">
        <f>[1]FINAL!K239</f>
        <v>3.0470143919455879</v>
      </c>
      <c r="D239" t="str">
        <f>[1]FINAL!M239</f>
        <v>CRY</v>
      </c>
    </row>
    <row r="240" spans="1:4" x14ac:dyDescent="0.3">
      <c r="A240" t="str">
        <f>[1]FINAL!A240</f>
        <v>Thilo Kehrer</v>
      </c>
      <c r="B240">
        <f>[1]FINAL!J240</f>
        <v>2.6608379335850829</v>
      </c>
      <c r="C240">
        <f>[1]FINAL!K240</f>
        <v>3.0351831444546278</v>
      </c>
      <c r="D240" t="str">
        <f>[1]FINAL!M240</f>
        <v>WHU</v>
      </c>
    </row>
    <row r="241" spans="1:4" x14ac:dyDescent="0.3">
      <c r="A241" t="str">
        <f>[1]FINAL!A241</f>
        <v>Conor Gallagher</v>
      </c>
      <c r="B241">
        <f>[1]FINAL!J241</f>
        <v>2.9475735261534477</v>
      </c>
      <c r="C241">
        <f>[1]FINAL!K241</f>
        <v>3.0307071094856366</v>
      </c>
      <c r="D241" t="str">
        <f>[1]FINAL!M241</f>
        <v>CHE</v>
      </c>
    </row>
    <row r="242" spans="1:4" x14ac:dyDescent="0.3">
      <c r="A242" t="str">
        <f>[1]FINAL!A242</f>
        <v>Will Hughes</v>
      </c>
      <c r="B242">
        <f>[1]FINAL!J242</f>
        <v>0</v>
      </c>
      <c r="C242">
        <f>[1]FINAL!K242</f>
        <v>3.0237605668822019</v>
      </c>
      <c r="D242" t="str">
        <f>[1]FINAL!M242</f>
        <v>CRY</v>
      </c>
    </row>
    <row r="243" spans="1:4" x14ac:dyDescent="0.3">
      <c r="A243" t="str">
        <f>[1]FINAL!A243</f>
        <v>Vitaly Janelt</v>
      </c>
      <c r="B243">
        <f>[1]FINAL!J243</f>
        <v>3.0628125858123569</v>
      </c>
      <c r="C243">
        <f>[1]FINAL!K243</f>
        <v>3.0135384034180612</v>
      </c>
      <c r="D243" t="str">
        <f>[1]FINAL!M243</f>
        <v>BRE</v>
      </c>
    </row>
    <row r="244" spans="1:4" x14ac:dyDescent="0.3">
      <c r="A244" t="str">
        <f>[1]FINAL!A244</f>
        <v>Nathan Collins</v>
      </c>
      <c r="B244">
        <f>[1]FINAL!J244</f>
        <v>2.3513976267045797</v>
      </c>
      <c r="C244">
        <f>[1]FINAL!K244</f>
        <v>3.0048879814291789</v>
      </c>
      <c r="D244" t="str">
        <f>[1]FINAL!M244</f>
        <v>BRE</v>
      </c>
    </row>
    <row r="245" spans="1:4" x14ac:dyDescent="0.3">
      <c r="A245" t="str">
        <f>[1]FINAL!A245</f>
        <v>Harry Toffolo</v>
      </c>
      <c r="B245">
        <f>[1]FINAL!J245</f>
        <v>0</v>
      </c>
      <c r="C245">
        <f>[1]FINAL!K245</f>
        <v>3.0037714922499639</v>
      </c>
      <c r="D245" t="str">
        <f>[1]FINAL!M245</f>
        <v>NFO</v>
      </c>
    </row>
    <row r="246" spans="1:4" x14ac:dyDescent="0.3">
      <c r="A246" t="str">
        <f>[1]FINAL!A246</f>
        <v>Matt Turner</v>
      </c>
      <c r="B246">
        <f>[1]FINAL!J246</f>
        <v>0</v>
      </c>
      <c r="C246">
        <f>[1]FINAL!K246</f>
        <v>2.9999999999999996</v>
      </c>
      <c r="D246" t="str">
        <f>[1]FINAL!M246</f>
        <v>NFO</v>
      </c>
    </row>
    <row r="247" spans="1:4" x14ac:dyDescent="0.3">
      <c r="A247" t="str">
        <f>[1]FINAL!A247</f>
        <v>Harrison Reed</v>
      </c>
      <c r="B247">
        <f>[1]FINAL!J247</f>
        <v>3.0097501621919429</v>
      </c>
      <c r="C247">
        <f>[1]FINAL!K247</f>
        <v>2.9998881302668434</v>
      </c>
      <c r="D247" t="str">
        <f>[1]FINAL!M247</f>
        <v>FUL</v>
      </c>
    </row>
    <row r="248" spans="1:4" x14ac:dyDescent="0.3">
      <c r="A248" t="str">
        <f>[1]FINAL!A248</f>
        <v>Cristian Romero</v>
      </c>
      <c r="B248">
        <f>[1]FINAL!J248</f>
        <v>2.5050216243654826</v>
      </c>
      <c r="C248">
        <f>[1]FINAL!K248</f>
        <v>2.9979673616324809</v>
      </c>
      <c r="D248" t="str">
        <f>[1]FINAL!M248</f>
        <v>TOT</v>
      </c>
    </row>
    <row r="249" spans="1:4" x14ac:dyDescent="0.3">
      <c r="A249" t="str">
        <f>[1]FINAL!A249</f>
        <v>Fraser Forster</v>
      </c>
      <c r="B249">
        <f>[1]FINAL!J249</f>
        <v>2.953920000000001</v>
      </c>
      <c r="C249">
        <f>[1]FINAL!K249</f>
        <v>2.9948881160705367</v>
      </c>
      <c r="D249" t="str">
        <f>[1]FINAL!M249</f>
        <v>TOT</v>
      </c>
    </row>
    <row r="250" spans="1:4" x14ac:dyDescent="0.3">
      <c r="A250" t="str">
        <f>[1]FINAL!A250</f>
        <v>Hugo Bueno López</v>
      </c>
      <c r="B250">
        <f>[1]FINAL!J250</f>
        <v>2.3246570068300518</v>
      </c>
      <c r="C250">
        <f>[1]FINAL!K250</f>
        <v>2.9945465079197091</v>
      </c>
      <c r="D250" t="str">
        <f>[1]FINAL!M250</f>
        <v>WOL</v>
      </c>
    </row>
    <row r="251" spans="1:4" x14ac:dyDescent="0.3">
      <c r="A251" t="str">
        <f>[1]FINAL!A251</f>
        <v>Ben Godfrey</v>
      </c>
      <c r="B251">
        <f>[1]FINAL!J251</f>
        <v>0</v>
      </c>
      <c r="C251">
        <f>[1]FINAL!K251</f>
        <v>2.988731397156124</v>
      </c>
      <c r="D251" t="str">
        <f>[1]FINAL!M251</f>
        <v>EVE</v>
      </c>
    </row>
    <row r="252" spans="1:4" x14ac:dyDescent="0.3">
      <c r="A252" t="str">
        <f>[1]FINAL!A252</f>
        <v>Pierre-Emerick Aubameyang</v>
      </c>
      <c r="B252">
        <f>[1]FINAL!J252</f>
        <v>0</v>
      </c>
      <c r="C252">
        <f>[1]FINAL!K252</f>
        <v>2.9829304029304025</v>
      </c>
      <c r="D252" t="str">
        <f>[1]FINAL!M252</f>
        <v>CHE</v>
      </c>
    </row>
    <row r="253" spans="1:4" x14ac:dyDescent="0.3">
      <c r="A253" t="str">
        <f>[1]FINAL!A253</f>
        <v>Jonathan Castro Otto</v>
      </c>
      <c r="B253">
        <f>[1]FINAL!J253</f>
        <v>2.9686689661505063</v>
      </c>
      <c r="C253">
        <f>[1]FINAL!K253</f>
        <v>2.9752863355488808</v>
      </c>
      <c r="D253" t="str">
        <f>[1]FINAL!M253</f>
        <v>WOL</v>
      </c>
    </row>
    <row r="254" spans="1:4" x14ac:dyDescent="0.3">
      <c r="A254" t="str">
        <f>[1]FINAL!A254</f>
        <v>Gonçalo Manuel Ganchinho Guedes</v>
      </c>
      <c r="B254">
        <f>[1]FINAL!J254</f>
        <v>0</v>
      </c>
      <c r="C254">
        <f>[1]FINAL!K254</f>
        <v>2.9749647877004852</v>
      </c>
      <c r="D254" t="str">
        <f>[1]FINAL!M254</f>
        <v>WOL</v>
      </c>
    </row>
    <row r="255" spans="1:4" x14ac:dyDescent="0.3">
      <c r="A255" t="str">
        <f>[1]FINAL!A255</f>
        <v>Thomas Partey</v>
      </c>
      <c r="B255">
        <f>[1]FINAL!J255</f>
        <v>2.933179762172248</v>
      </c>
      <c r="C255">
        <f>[1]FINAL!K255</f>
        <v>2.9681027481456002</v>
      </c>
      <c r="D255" t="str">
        <f>[1]FINAL!M255</f>
        <v>ARS</v>
      </c>
    </row>
    <row r="256" spans="1:4" x14ac:dyDescent="0.3">
      <c r="A256" t="str">
        <f>[1]FINAL!A256</f>
        <v>Marek Rodák</v>
      </c>
      <c r="B256">
        <f>[1]FINAL!J256</f>
        <v>0</v>
      </c>
      <c r="C256">
        <f>[1]FINAL!K256</f>
        <v>2.9662736445469395</v>
      </c>
      <c r="D256" t="str">
        <f>[1]FINAL!M256</f>
        <v>FUL</v>
      </c>
    </row>
    <row r="257" spans="1:4" x14ac:dyDescent="0.3">
      <c r="A257" t="str">
        <f>[1]FINAL!A257</f>
        <v>Ryan Christie</v>
      </c>
      <c r="B257">
        <f>[1]FINAL!J257</f>
        <v>2.5658372055329162</v>
      </c>
      <c r="C257">
        <f>[1]FINAL!K257</f>
        <v>2.9514718610194337</v>
      </c>
      <c r="D257" t="str">
        <f>[1]FINAL!M257</f>
        <v>BOU</v>
      </c>
    </row>
    <row r="258" spans="1:4" x14ac:dyDescent="0.3">
      <c r="A258" t="str">
        <f>[1]FINAL!A258</f>
        <v>Vitalii Mykolenko</v>
      </c>
      <c r="B258">
        <f>[1]FINAL!J258</f>
        <v>2.5015763366042223</v>
      </c>
      <c r="C258">
        <f>[1]FINAL!K258</f>
        <v>2.9428828366633364</v>
      </c>
      <c r="D258" t="str">
        <f>[1]FINAL!M258</f>
        <v>EVE</v>
      </c>
    </row>
    <row r="259" spans="1:4" x14ac:dyDescent="0.3">
      <c r="A259" t="str">
        <f>[1]FINAL!A259</f>
        <v>Philippe Coutinho Correia</v>
      </c>
      <c r="B259">
        <f>[1]FINAL!J259</f>
        <v>0</v>
      </c>
      <c r="C259">
        <f>[1]FINAL!K259</f>
        <v>2.9306190419965819</v>
      </c>
      <c r="D259" t="str">
        <f>[1]FINAL!M259</f>
        <v>AVL</v>
      </c>
    </row>
    <row r="260" spans="1:4" x14ac:dyDescent="0.3">
      <c r="A260" t="str">
        <f>[1]FINAL!A260</f>
        <v>Stefan Bajcetic</v>
      </c>
      <c r="B260">
        <f>[1]FINAL!J260</f>
        <v>0</v>
      </c>
      <c r="C260">
        <f>[1]FINAL!K260</f>
        <v>2.9276332378788723</v>
      </c>
      <c r="D260" t="str">
        <f>[1]FINAL!M260</f>
        <v>LIV</v>
      </c>
    </row>
    <row r="261" spans="1:4" x14ac:dyDescent="0.3">
      <c r="A261" t="str">
        <f>[1]FINAL!A261</f>
        <v>Kenny Tete</v>
      </c>
      <c r="B261">
        <f>[1]FINAL!J261</f>
        <v>3.0166060347052914</v>
      </c>
      <c r="C261">
        <f>[1]FINAL!K261</f>
        <v>2.9184698640499276</v>
      </c>
      <c r="D261" t="str">
        <f>[1]FINAL!M261</f>
        <v>FUL</v>
      </c>
    </row>
    <row r="262" spans="1:4" x14ac:dyDescent="0.3">
      <c r="A262" t="str">
        <f>[1]FINAL!A262</f>
        <v>Aaron Hickey</v>
      </c>
      <c r="B262">
        <f>[1]FINAL!J262</f>
        <v>2.6648826492143729</v>
      </c>
      <c r="C262">
        <f>[1]FINAL!K262</f>
        <v>2.9160118028747442</v>
      </c>
      <c r="D262" t="str">
        <f>[1]FINAL!M262</f>
        <v>BRE</v>
      </c>
    </row>
    <row r="263" spans="1:4" x14ac:dyDescent="0.3">
      <c r="A263" t="str">
        <f>[1]FINAL!A263</f>
        <v>Bryan Gil Salvatierra</v>
      </c>
      <c r="B263">
        <f>[1]FINAL!J263</f>
        <v>0</v>
      </c>
      <c r="C263">
        <f>[1]FINAL!K263</f>
        <v>2.9066608146985491</v>
      </c>
      <c r="D263" t="str">
        <f>[1]FINAL!M263</f>
        <v>TOT</v>
      </c>
    </row>
    <row r="264" spans="1:4" x14ac:dyDescent="0.3">
      <c r="A264" t="str">
        <f>[1]FINAL!A264</f>
        <v>Neco Williams</v>
      </c>
      <c r="B264">
        <f>[1]FINAL!J264</f>
        <v>2.4404762235024329</v>
      </c>
      <c r="C264">
        <f>[1]FINAL!K264</f>
        <v>2.8965530024869288</v>
      </c>
      <c r="D264" t="str">
        <f>[1]FINAL!M264</f>
        <v>NFO</v>
      </c>
    </row>
    <row r="265" spans="1:4" x14ac:dyDescent="0.3">
      <c r="A265" t="str">
        <f>[1]FINAL!A265</f>
        <v>Marcos Senesi</v>
      </c>
      <c r="B265">
        <f>[1]FINAL!J265</f>
        <v>2.3403378567051907</v>
      </c>
      <c r="C265">
        <f>[1]FINAL!K265</f>
        <v>2.8943329961694584</v>
      </c>
      <c r="D265" t="str">
        <f>[1]FINAL!M265</f>
        <v>BOU</v>
      </c>
    </row>
    <row r="266" spans="1:4" x14ac:dyDescent="0.3">
      <c r="A266" t="str">
        <f>[1]FINAL!A266</f>
        <v>Bobby De Cordova-Reid</v>
      </c>
      <c r="B266">
        <f>[1]FINAL!J266</f>
        <v>2.8953103923444981</v>
      </c>
      <c r="C266">
        <f>[1]FINAL!K266</f>
        <v>2.8886363289453749</v>
      </c>
      <c r="D266" t="str">
        <f>[1]FINAL!M266</f>
        <v>FUL</v>
      </c>
    </row>
    <row r="267" spans="1:4" x14ac:dyDescent="0.3">
      <c r="A267" t="str">
        <f>[1]FINAL!A267</f>
        <v>James Milner</v>
      </c>
      <c r="B267">
        <f>[1]FINAL!J267</f>
        <v>0</v>
      </c>
      <c r="C267">
        <f>[1]FINAL!K267</f>
        <v>2.8852886192012206</v>
      </c>
      <c r="D267" t="str">
        <f>[1]FINAL!M267</f>
        <v>BHA</v>
      </c>
    </row>
    <row r="268" spans="1:4" x14ac:dyDescent="0.3">
      <c r="A268" t="str">
        <f>[1]FINAL!A268</f>
        <v>Lloyd Kelly</v>
      </c>
      <c r="B268">
        <f>[1]FINAL!J268</f>
        <v>2.6019285015479872</v>
      </c>
      <c r="C268">
        <f>[1]FINAL!K268</f>
        <v>2.8783574986350389</v>
      </c>
      <c r="D268" t="str">
        <f>[1]FINAL!M268</f>
        <v>BOU</v>
      </c>
    </row>
    <row r="269" spans="1:4" x14ac:dyDescent="0.3">
      <c r="A269" t="str">
        <f>[1]FINAL!A269</f>
        <v>John McGinn</v>
      </c>
      <c r="B269">
        <f>[1]FINAL!J269</f>
        <v>2.9069731866241919</v>
      </c>
      <c r="C269">
        <f>[1]FINAL!K269</f>
        <v>2.8680640605909633</v>
      </c>
      <c r="D269" t="str">
        <f>[1]FINAL!M269</f>
        <v>AVL</v>
      </c>
    </row>
    <row r="270" spans="1:4" x14ac:dyDescent="0.3">
      <c r="A270" t="str">
        <f>[1]FINAL!A270</f>
        <v>Frank Onyeka</v>
      </c>
      <c r="B270">
        <f>[1]FINAL!J270</f>
        <v>0</v>
      </c>
      <c r="C270">
        <f>[1]FINAL!K270</f>
        <v>2.8525094096478956</v>
      </c>
      <c r="D270" t="str">
        <f>[1]FINAL!M270</f>
        <v>BRE</v>
      </c>
    </row>
    <row r="271" spans="1:4" x14ac:dyDescent="0.3">
      <c r="A271" t="str">
        <f>[1]FINAL!A271</f>
        <v>Nathaniel Clyne</v>
      </c>
      <c r="B271">
        <f>[1]FINAL!J271</f>
        <v>2.3076718521181001</v>
      </c>
      <c r="C271">
        <f>[1]FINAL!K271</f>
        <v>2.8498286017378276</v>
      </c>
      <c r="D271" t="str">
        <f>[1]FINAL!M271</f>
        <v>CRY</v>
      </c>
    </row>
    <row r="272" spans="1:4" x14ac:dyDescent="0.3">
      <c r="A272" t="str">
        <f>[1]FINAL!A272</f>
        <v>Mikkel Damsgaard</v>
      </c>
      <c r="B272">
        <f>[1]FINAL!J272</f>
        <v>0</v>
      </c>
      <c r="C272">
        <f>[1]FINAL!K272</f>
        <v>2.8427058648327113</v>
      </c>
      <c r="D272" t="str">
        <f>[1]FINAL!M272</f>
        <v>BRE</v>
      </c>
    </row>
    <row r="273" spans="1:4" x14ac:dyDescent="0.3">
      <c r="A273" t="str">
        <f>[1]FINAL!A273</f>
        <v>Matheus Luiz Nunes</v>
      </c>
      <c r="B273">
        <f>[1]FINAL!J273</f>
        <v>2.5418089970772089</v>
      </c>
      <c r="C273">
        <f>[1]FINAL!K273</f>
        <v>2.8418840615501653</v>
      </c>
      <c r="D273" t="str">
        <f>[1]FINAL!M273</f>
        <v>WOL</v>
      </c>
    </row>
    <row r="274" spans="1:4" x14ac:dyDescent="0.3">
      <c r="A274" t="str">
        <f>[1]FINAL!A274</f>
        <v>Jeffrey Schlupp</v>
      </c>
      <c r="B274">
        <f>[1]FINAL!J274</f>
        <v>2.873294618395061</v>
      </c>
      <c r="C274">
        <f>[1]FINAL!K274</f>
        <v>2.8345673295062772</v>
      </c>
      <c r="D274" t="str">
        <f>[1]FINAL!M274</f>
        <v>CRY</v>
      </c>
    </row>
    <row r="275" spans="1:4" x14ac:dyDescent="0.3">
      <c r="A275" t="str">
        <f>[1]FINAL!A275</f>
        <v>Jefferson Lerma Solís</v>
      </c>
      <c r="B275">
        <f>[1]FINAL!J275</f>
        <v>2.7570890161196364</v>
      </c>
      <c r="C275">
        <f>[1]FINAL!K275</f>
        <v>2.8243156191234737</v>
      </c>
      <c r="D275" t="str">
        <f>[1]FINAL!M275</f>
        <v>CRY</v>
      </c>
    </row>
    <row r="276" spans="1:4" x14ac:dyDescent="0.3">
      <c r="A276" t="str">
        <f>[1]FINAL!A276</f>
        <v>Jordan Henderson</v>
      </c>
      <c r="B276">
        <f>[1]FINAL!J276</f>
        <v>2.5953870750647114</v>
      </c>
      <c r="C276">
        <f>[1]FINAL!K276</f>
        <v>2.7940499108791066</v>
      </c>
      <c r="D276" t="str">
        <f>[1]FINAL!M276</f>
        <v>LIV</v>
      </c>
    </row>
    <row r="277" spans="1:4" x14ac:dyDescent="0.3">
      <c r="A277" t="str">
        <f>[1]FINAL!A277</f>
        <v>Japhet Tanganga</v>
      </c>
      <c r="B277">
        <f>[1]FINAL!J277</f>
        <v>0</v>
      </c>
      <c r="C277">
        <f>[1]FINAL!K277</f>
        <v>2.7777911095263668</v>
      </c>
      <c r="D277" t="str">
        <f>[1]FINAL!M277</f>
        <v>TOT</v>
      </c>
    </row>
    <row r="278" spans="1:4" x14ac:dyDescent="0.3">
      <c r="A278" t="str">
        <f>[1]FINAL!A278</f>
        <v>Joe Worrall</v>
      </c>
      <c r="B278">
        <f>[1]FINAL!J278</f>
        <v>2.4426799810677773</v>
      </c>
      <c r="C278">
        <f>[1]FINAL!K278</f>
        <v>2.7746593897098055</v>
      </c>
      <c r="D278" t="str">
        <f>[1]FINAL!M278</f>
        <v>NFO</v>
      </c>
    </row>
    <row r="279" spans="1:4" x14ac:dyDescent="0.3">
      <c r="A279" t="str">
        <f>[1]FINAL!A279</f>
        <v>Shandon Baptiste</v>
      </c>
      <c r="B279">
        <f>[1]FINAL!J279</f>
        <v>0</v>
      </c>
      <c r="C279">
        <f>[1]FINAL!K279</f>
        <v>2.7660178923241201</v>
      </c>
      <c r="D279" t="str">
        <f>[1]FINAL!M279</f>
        <v>BRE</v>
      </c>
    </row>
    <row r="280" spans="1:4" x14ac:dyDescent="0.3">
      <c r="A280" t="str">
        <f>[1]FINAL!A280</f>
        <v>Anthony Gordon</v>
      </c>
      <c r="B280">
        <f>[1]FINAL!J280</f>
        <v>0</v>
      </c>
      <c r="C280">
        <f>[1]FINAL!K280</f>
        <v>2.7549353793242517</v>
      </c>
      <c r="D280" t="str">
        <f>[1]FINAL!M280</f>
        <v>NEW</v>
      </c>
    </row>
    <row r="281" spans="1:4" x14ac:dyDescent="0.3">
      <c r="A281" t="str">
        <f>[1]FINAL!A281</f>
        <v>Amadou Onana</v>
      </c>
      <c r="B281">
        <f>[1]FINAL!J281</f>
        <v>2.6341800599086143</v>
      </c>
      <c r="C281">
        <f>[1]FINAL!K281</f>
        <v>2.7530592348346037</v>
      </c>
      <c r="D281" t="str">
        <f>[1]FINAL!M281</f>
        <v>EVE</v>
      </c>
    </row>
    <row r="282" spans="1:4" x14ac:dyDescent="0.3">
      <c r="A282" t="str">
        <f>[1]FINAL!A282</f>
        <v>Jorge Luiz Frello Filho</v>
      </c>
      <c r="B282">
        <f>[1]FINAL!J282</f>
        <v>0</v>
      </c>
      <c r="C282">
        <f>[1]FINAL!K282</f>
        <v>2.7474298966446349</v>
      </c>
      <c r="D282" t="str">
        <f>[1]FINAL!M282</f>
        <v>ARS</v>
      </c>
    </row>
    <row r="283" spans="1:4" x14ac:dyDescent="0.3">
      <c r="A283" t="str">
        <f>[1]FINAL!A283</f>
        <v>Wayne Hennessey</v>
      </c>
      <c r="B283">
        <f>[1]FINAL!J283</f>
        <v>0</v>
      </c>
      <c r="C283">
        <f>[1]FINAL!K283</f>
        <v>2.7403092598017067</v>
      </c>
      <c r="D283" t="str">
        <f>[1]FINAL!M283</f>
        <v>NFO</v>
      </c>
    </row>
    <row r="284" spans="1:4" x14ac:dyDescent="0.3">
      <c r="A284" t="str">
        <f>[1]FINAL!A284</f>
        <v>Mark Travers</v>
      </c>
      <c r="B284">
        <f>[1]FINAL!J284</f>
        <v>0</v>
      </c>
      <c r="C284">
        <f>[1]FINAL!K284</f>
        <v>2.7390635779439325</v>
      </c>
      <c r="D284" t="str">
        <f>[1]FINAL!M284</f>
        <v>BOU</v>
      </c>
    </row>
    <row r="285" spans="1:4" x14ac:dyDescent="0.3">
      <c r="A285" t="str">
        <f>[1]FINAL!A285</f>
        <v>Antonee Robinson</v>
      </c>
      <c r="B285">
        <f>[1]FINAL!J285</f>
        <v>2.6230662934278697</v>
      </c>
      <c r="C285">
        <f>[1]FINAL!K285</f>
        <v>2.7361302250781931</v>
      </c>
      <c r="D285" t="str">
        <f>[1]FINAL!M285</f>
        <v>FUL</v>
      </c>
    </row>
    <row r="286" spans="1:4" x14ac:dyDescent="0.3">
      <c r="A286" t="str">
        <f>[1]FINAL!A286</f>
        <v>Alphonse Areola</v>
      </c>
      <c r="B286">
        <f>[1]FINAL!J286</f>
        <v>0</v>
      </c>
      <c r="C286">
        <f>[1]FINAL!K286</f>
        <v>2.7268195915199271</v>
      </c>
      <c r="D286" t="str">
        <f>[1]FINAL!M286</f>
        <v>WHU</v>
      </c>
    </row>
    <row r="287" spans="1:4" x14ac:dyDescent="0.3">
      <c r="A287" t="str">
        <f>[1]FINAL!A287</f>
        <v>Nathan Patterson</v>
      </c>
      <c r="B287">
        <f>[1]FINAL!J287</f>
        <v>2.0465557165548742</v>
      </c>
      <c r="C287">
        <f>[1]FINAL!K287</f>
        <v>2.7236180118095938</v>
      </c>
      <c r="D287" t="str">
        <f>[1]FINAL!M287</f>
        <v>EVE</v>
      </c>
    </row>
    <row r="288" spans="1:4" x14ac:dyDescent="0.3">
      <c r="A288" t="str">
        <f>[1]FINAL!A288</f>
        <v>Scott McTominay</v>
      </c>
      <c r="B288">
        <f>[1]FINAL!J288</f>
        <v>2.6519387259528142</v>
      </c>
      <c r="C288">
        <f>[1]FINAL!K288</f>
        <v>2.7143800617340403</v>
      </c>
      <c r="D288" t="str">
        <f>[1]FINAL!M288</f>
        <v>MUN</v>
      </c>
    </row>
    <row r="289" spans="1:4" x14ac:dyDescent="0.3">
      <c r="A289" t="str">
        <f>[1]FINAL!A289</f>
        <v>Kevin Mbabu</v>
      </c>
      <c r="B289">
        <f>[1]FINAL!J289</f>
        <v>0</v>
      </c>
      <c r="C289">
        <f>[1]FINAL!K289</f>
        <v>2.6726444750285143</v>
      </c>
      <c r="D289" t="str">
        <f>[1]FINAL!M289</f>
        <v>FUL</v>
      </c>
    </row>
    <row r="290" spans="1:4" x14ac:dyDescent="0.3">
      <c r="A290" t="str">
        <f>[1]FINAL!A290</f>
        <v>Wout Weghorst</v>
      </c>
      <c r="B290">
        <f>[1]FINAL!J290</f>
        <v>0</v>
      </c>
      <c r="C290">
        <f>[1]FINAL!K290</f>
        <v>2.6679622784810126</v>
      </c>
      <c r="D290" t="str">
        <f>[1]FINAL!M290</f>
        <v>BUR</v>
      </c>
    </row>
    <row r="291" spans="1:4" x14ac:dyDescent="0.3">
      <c r="A291" t="str">
        <f>[1]FINAL!A291</f>
        <v>Leander Dendoncker</v>
      </c>
      <c r="B291">
        <f>[1]FINAL!J291</f>
        <v>0</v>
      </c>
      <c r="C291">
        <f>[1]FINAL!K291</f>
        <v>2.6657976694119734</v>
      </c>
      <c r="D291" t="str">
        <f>[1]FINAL!M291</f>
        <v>AVL</v>
      </c>
    </row>
    <row r="292" spans="1:4" x14ac:dyDescent="0.3">
      <c r="A292" t="str">
        <f>[1]FINAL!A292</f>
        <v>Nélson Cabral Semedo</v>
      </c>
      <c r="B292">
        <f>[1]FINAL!J292</f>
        <v>2.3422784894416893</v>
      </c>
      <c r="C292">
        <f>[1]FINAL!K292</f>
        <v>2.6570945994794362</v>
      </c>
      <c r="D292" t="str">
        <f>[1]FINAL!M292</f>
        <v>WOL</v>
      </c>
    </row>
    <row r="293" spans="1:4" x14ac:dyDescent="0.3">
      <c r="A293" t="str">
        <f>[1]FINAL!A293</f>
        <v>Pape Matar Sarr</v>
      </c>
      <c r="B293">
        <f>[1]FINAL!J293</f>
        <v>0</v>
      </c>
      <c r="C293">
        <f>[1]FINAL!K293</f>
        <v>2.6379303725768848</v>
      </c>
      <c r="D293" t="str">
        <f>[1]FINAL!M293</f>
        <v>TOT</v>
      </c>
    </row>
    <row r="294" spans="1:4" x14ac:dyDescent="0.3">
      <c r="A294" t="str">
        <f>[1]FINAL!A294</f>
        <v>Tosin Adarabioyo</v>
      </c>
      <c r="B294">
        <f>[1]FINAL!J294</f>
        <v>2.0934060159030667</v>
      </c>
      <c r="C294">
        <f>[1]FINAL!K294</f>
        <v>2.62789552554502</v>
      </c>
      <c r="D294" t="str">
        <f>[1]FINAL!M294</f>
        <v>FUL</v>
      </c>
    </row>
    <row r="295" spans="1:4" x14ac:dyDescent="0.3">
      <c r="A295" t="str">
        <f>[1]FINAL!A295</f>
        <v>Donny van de Beek</v>
      </c>
      <c r="B295">
        <f>[1]FINAL!J295</f>
        <v>0</v>
      </c>
      <c r="C295">
        <f>[1]FINAL!K295</f>
        <v>2.6133178732523863</v>
      </c>
      <c r="D295" t="str">
        <f>[1]FINAL!M295</f>
        <v>MUN</v>
      </c>
    </row>
    <row r="296" spans="1:4" x14ac:dyDescent="0.3">
      <c r="A296" t="str">
        <f>[1]FINAL!A296</f>
        <v>Adam Smith</v>
      </c>
      <c r="B296">
        <f>[1]FINAL!J296</f>
        <v>2.0994474690702285</v>
      </c>
      <c r="C296">
        <f>[1]FINAL!K296</f>
        <v>2.610126098230555</v>
      </c>
      <c r="D296" t="str">
        <f>[1]FINAL!M296</f>
        <v>BOU</v>
      </c>
    </row>
    <row r="297" spans="1:4" x14ac:dyDescent="0.3">
      <c r="A297" t="str">
        <f>[1]FINAL!A297</f>
        <v>Ryan Fraser</v>
      </c>
      <c r="B297">
        <f>[1]FINAL!J297</f>
        <v>0</v>
      </c>
      <c r="C297">
        <f>[1]FINAL!K297</f>
        <v>2.6075900848474451</v>
      </c>
      <c r="D297" t="str">
        <f>[1]FINAL!M297</f>
        <v>NEW</v>
      </c>
    </row>
    <row r="298" spans="1:4" x14ac:dyDescent="0.3">
      <c r="A298" t="str">
        <f>[1]FINAL!A298</f>
        <v>Ryan Yates</v>
      </c>
      <c r="B298">
        <f>[1]FINAL!J298</f>
        <v>2.3308887963785363</v>
      </c>
      <c r="C298">
        <f>[1]FINAL!K298</f>
        <v>2.6001352084882221</v>
      </c>
      <c r="D298" t="str">
        <f>[1]FINAL!M298</f>
        <v>NFO</v>
      </c>
    </row>
    <row r="299" spans="1:4" x14ac:dyDescent="0.3">
      <c r="A299" t="str">
        <f>[1]FINAL!A299</f>
        <v>Chris Mepham</v>
      </c>
      <c r="B299">
        <f>[1]FINAL!J299</f>
        <v>1.7493229927478993</v>
      </c>
      <c r="C299">
        <f>[1]FINAL!K299</f>
        <v>2.581664064632438</v>
      </c>
      <c r="D299" t="str">
        <f>[1]FINAL!M299</f>
        <v>BOU</v>
      </c>
    </row>
    <row r="300" spans="1:4" x14ac:dyDescent="0.3">
      <c r="A300" t="str">
        <f>[1]FINAL!A300</f>
        <v>Scott McKenna</v>
      </c>
      <c r="B300">
        <f>[1]FINAL!J300</f>
        <v>2.0891959395624644</v>
      </c>
      <c r="C300">
        <f>[1]FINAL!K300</f>
        <v>2.5636880657689289</v>
      </c>
      <c r="D300" t="str">
        <f>[1]FINAL!M300</f>
        <v>NFO</v>
      </c>
    </row>
    <row r="301" spans="1:4" x14ac:dyDescent="0.3">
      <c r="A301" t="str">
        <f>[1]FINAL!A301</f>
        <v>Cheikhou Kouyaté</v>
      </c>
      <c r="B301">
        <f>[1]FINAL!J301</f>
        <v>0</v>
      </c>
      <c r="C301">
        <f>[1]FINAL!K301</f>
        <v>2.5443516192018971</v>
      </c>
      <c r="D301" t="str">
        <f>[1]FINAL!M301</f>
        <v>NFO</v>
      </c>
    </row>
    <row r="302" spans="1:4" x14ac:dyDescent="0.3">
      <c r="A302" t="str">
        <f>[1]FINAL!A302</f>
        <v>Lewis Cook</v>
      </c>
      <c r="B302">
        <f>[1]FINAL!J302</f>
        <v>2.4747865733170133</v>
      </c>
      <c r="C302">
        <f>[1]FINAL!K302</f>
        <v>2.5238101339182122</v>
      </c>
      <c r="D302" t="str">
        <f>[1]FINAL!M302</f>
        <v>BOU</v>
      </c>
    </row>
    <row r="303" spans="1:4" x14ac:dyDescent="0.3">
      <c r="A303" t="str">
        <f>[1]FINAL!A303</f>
        <v>Flynn Downes</v>
      </c>
      <c r="B303">
        <f>[1]FINAL!J303</f>
        <v>0</v>
      </c>
      <c r="C303">
        <f>[1]FINAL!K303</f>
        <v>2.5113225584198244</v>
      </c>
      <c r="D303" t="str">
        <f>[1]FINAL!M303</f>
        <v>WHU</v>
      </c>
    </row>
    <row r="304" spans="1:4" x14ac:dyDescent="0.3">
      <c r="A304" t="str">
        <f>[1]FINAL!A304</f>
        <v>Lewis O'Brien</v>
      </c>
      <c r="B304">
        <f>[1]FINAL!J304</f>
        <v>0</v>
      </c>
      <c r="C304">
        <f>[1]FINAL!K304</f>
        <v>2.4543718636902683</v>
      </c>
      <c r="D304" t="str">
        <f>[1]FINAL!M304</f>
        <v>NFO</v>
      </c>
    </row>
    <row r="305" spans="1:4" x14ac:dyDescent="0.3">
      <c r="A305" t="str">
        <f>[1]FINAL!A305</f>
        <v>Moisés Caicedo Corozo</v>
      </c>
      <c r="B305">
        <f>[1]FINAL!J305</f>
        <v>2.2913012917288458</v>
      </c>
      <c r="C305">
        <f>[1]FINAL!K305</f>
        <v>2.4348018112075032</v>
      </c>
      <c r="D305" t="str">
        <f>[1]FINAL!M305</f>
        <v>BHA</v>
      </c>
    </row>
    <row r="306" spans="1:4" x14ac:dyDescent="0.3">
      <c r="A306" t="str">
        <f>[1]FINAL!A306</f>
        <v>Ryan Fredericks</v>
      </c>
      <c r="B306">
        <f>[1]FINAL!J306</f>
        <v>0</v>
      </c>
      <c r="C306">
        <f>[1]FINAL!K306</f>
        <v>2.4317711406001736</v>
      </c>
      <c r="D306" t="str">
        <f>[1]FINAL!M306</f>
        <v>BOU</v>
      </c>
    </row>
    <row r="307" spans="1:4" x14ac:dyDescent="0.3">
      <c r="A307" t="str">
        <f>[1]FINAL!A307</f>
        <v>Albert Sambi Lokonga</v>
      </c>
      <c r="B307">
        <f>[1]FINAL!J307</f>
        <v>0</v>
      </c>
      <c r="C307">
        <f>[1]FINAL!K307</f>
        <v>2.427823153587112</v>
      </c>
      <c r="D307" t="str">
        <f>[1]FINAL!M307</f>
        <v>ARS</v>
      </c>
    </row>
    <row r="308" spans="1:4" x14ac:dyDescent="0.3">
      <c r="A308" t="str">
        <f>[1]FINAL!A308</f>
        <v>João Palhinha Gonçalves</v>
      </c>
      <c r="B308">
        <f>[1]FINAL!J308</f>
        <v>2.3655107439544816</v>
      </c>
      <c r="C308">
        <f>[1]FINAL!K308</f>
        <v>2.420519855549581</v>
      </c>
      <c r="D308" t="str">
        <f>[1]FINAL!M308</f>
        <v>FUL</v>
      </c>
    </row>
    <row r="309" spans="1:4" x14ac:dyDescent="0.3">
      <c r="A309" t="str">
        <f>[1]FINAL!A309</f>
        <v>Joe Rothwell</v>
      </c>
      <c r="B309">
        <f>[1]FINAL!J309</f>
        <v>0</v>
      </c>
      <c r="C309">
        <f>[1]FINAL!K309</f>
        <v>2.4043056660777085</v>
      </c>
      <c r="D309" t="str">
        <f>[1]FINAL!M309</f>
        <v>BOU</v>
      </c>
    </row>
    <row r="310" spans="1:4" x14ac:dyDescent="0.3">
      <c r="A310" t="str">
        <f>[1]FINAL!A310</f>
        <v>Cheick Doucouré</v>
      </c>
      <c r="B310">
        <f>[1]FINAL!J310</f>
        <v>2.1836903853566758</v>
      </c>
      <c r="C310">
        <f>[1]FINAL!K310</f>
        <v>2.3943116151302259</v>
      </c>
      <c r="D310" t="str">
        <f>[1]FINAL!M310</f>
        <v>CRY</v>
      </c>
    </row>
    <row r="311" spans="1:4" x14ac:dyDescent="0.3">
      <c r="A311" t="str">
        <f>[1]FINAL!A311</f>
        <v>Steve Cook</v>
      </c>
      <c r="B311">
        <f>[1]FINAL!J311</f>
        <v>0</v>
      </c>
      <c r="C311">
        <f>[1]FINAL!K311</f>
        <v>2.391392067583439</v>
      </c>
      <c r="D311" t="str">
        <f>[1]FINAL!M311</f>
        <v>NFO</v>
      </c>
    </row>
    <row r="312" spans="1:4" x14ac:dyDescent="0.3">
      <c r="A312" t="str">
        <f>[1]FINAL!A312</f>
        <v>Thiago Alcántara do Nascimento</v>
      </c>
      <c r="B312">
        <f>[1]FINAL!J312</f>
        <v>1.9620260387811634</v>
      </c>
      <c r="C312">
        <f>[1]FINAL!K312</f>
        <v>2.3628486249361345</v>
      </c>
      <c r="D312" t="str">
        <f>[1]FINAL!M312</f>
        <v>LIV</v>
      </c>
    </row>
    <row r="313" spans="1:4" x14ac:dyDescent="0.3">
      <c r="A313" t="str">
        <f>[1]FINAL!A313</f>
        <v>Pedro Lomba Neto</v>
      </c>
      <c r="B313">
        <f>[1]FINAL!J313</f>
        <v>1.3545373870903674</v>
      </c>
      <c r="C313">
        <f>[1]FINAL!K313</f>
        <v>2.3243664674380384</v>
      </c>
      <c r="D313" t="str">
        <f>[1]FINAL!M313</f>
        <v>WOL</v>
      </c>
    </row>
    <row r="314" spans="1:4" x14ac:dyDescent="0.3">
      <c r="A314" t="str">
        <f>[1]FINAL!A314</f>
        <v>David Brooks</v>
      </c>
      <c r="B314">
        <f>[1]FINAL!J314</f>
        <v>0</v>
      </c>
      <c r="C314">
        <f>[1]FINAL!K314</f>
        <v>2.2865671064052835</v>
      </c>
      <c r="D314" t="str">
        <f>[1]FINAL!M314</f>
        <v>BOU</v>
      </c>
    </row>
    <row r="315" spans="1:4" x14ac:dyDescent="0.3">
      <c r="A315" t="str">
        <f>[1]FINAL!A315</f>
        <v>Orel Mangala</v>
      </c>
      <c r="B315">
        <f>[1]FINAL!J315</f>
        <v>2.2521959252971149</v>
      </c>
      <c r="C315">
        <f>[1]FINAL!K315</f>
        <v>2.2751922418787807</v>
      </c>
      <c r="D315" t="str">
        <f>[1]FINAL!M315</f>
        <v>NFO</v>
      </c>
    </row>
    <row r="316" spans="1:4" x14ac:dyDescent="0.3">
      <c r="A316" t="str">
        <f>[1]FINAL!A316</f>
        <v>Fabio Henrique Tavares</v>
      </c>
      <c r="B316">
        <f>[1]FINAL!J316</f>
        <v>2.1493403929141461</v>
      </c>
      <c r="C316">
        <f>[1]FINAL!K316</f>
        <v>2.232621334608254</v>
      </c>
      <c r="D316" t="str">
        <f>[1]FINAL!M316</f>
        <v>LIV</v>
      </c>
    </row>
    <row r="317" spans="1:4" x14ac:dyDescent="0.3">
      <c r="A317" t="str">
        <f>[1]FINAL!A317</f>
        <v>Boubacar Kamara</v>
      </c>
      <c r="B317">
        <f>[1]FINAL!J317</f>
        <v>2.0786422945828278</v>
      </c>
      <c r="C317">
        <f>[1]FINAL!K317</f>
        <v>2.2136036676496609</v>
      </c>
      <c r="D317" t="str">
        <f>[1]FINAL!M317</f>
        <v>AVL</v>
      </c>
    </row>
    <row r="318" spans="1:4" x14ac:dyDescent="0.3">
      <c r="A318" t="str">
        <f>[1]FINAL!A318</f>
        <v>Oliver Skipp</v>
      </c>
      <c r="B318">
        <f>[1]FINAL!J318</f>
        <v>2.3587763795404011</v>
      </c>
      <c r="C318">
        <f>[1]FINAL!K318</f>
        <v>2.2062585228739611</v>
      </c>
      <c r="D318" t="str">
        <f>[1]FINAL!M318</f>
        <v>TOT</v>
      </c>
    </row>
    <row r="319" spans="1:4" x14ac:dyDescent="0.3">
      <c r="A319" t="str">
        <f>[1]FINAL!A319</f>
        <v>Remo Freuler</v>
      </c>
      <c r="B319">
        <f>[1]FINAL!J319</f>
        <v>2.0935729637838243</v>
      </c>
      <c r="C319">
        <f>[1]FINAL!K319</f>
        <v>2.2043819125924706</v>
      </c>
      <c r="D319" t="str">
        <f>[1]FINAL!M319</f>
        <v>NFO</v>
      </c>
    </row>
    <row r="320" spans="1:4" x14ac:dyDescent="0.3">
      <c r="A320" t="str">
        <f>[1]FINAL!A320</f>
        <v>Yves Bissouma</v>
      </c>
      <c r="B320">
        <f>[1]FINAL!J320</f>
        <v>0</v>
      </c>
      <c r="C320">
        <f>[1]FINAL!K320</f>
        <v>2.0534106996772472</v>
      </c>
      <c r="D320" t="str">
        <f>[1]FINAL!M320</f>
        <v>TOT</v>
      </c>
    </row>
    <row r="321" spans="1:4" x14ac:dyDescent="0.3">
      <c r="A321" t="str">
        <f>[1]FINAL!A321</f>
        <v>Ben Pearson</v>
      </c>
      <c r="B321">
        <f>[1]FINAL!J321</f>
        <v>0</v>
      </c>
      <c r="C321">
        <f>[1]FINAL!K321</f>
        <v>2.0417466175434638</v>
      </c>
      <c r="D321" t="str">
        <f>[1]FINAL!M321</f>
        <v>BOU</v>
      </c>
    </row>
    <row r="322" spans="1:4" x14ac:dyDescent="0.3">
      <c r="A322" t="str">
        <f>[1]FINAL!A322</f>
        <v>Jamaal Lascelles</v>
      </c>
      <c r="B322">
        <f>[1]FINAL!J322</f>
        <v>0</v>
      </c>
      <c r="C322">
        <f>[1]FINAL!K322</f>
        <v>1.5086061357700169</v>
      </c>
      <c r="D322" t="str">
        <f>[1]FINAL!M322</f>
        <v>NEW</v>
      </c>
    </row>
    <row r="323" spans="1:4" x14ac:dyDescent="0.3">
      <c r="A323" t="str">
        <f>[1]FINAL!A323</f>
        <v>Diogo Teixeira da Silva</v>
      </c>
      <c r="B323">
        <f>[1]FINAL!J323</f>
        <v>0</v>
      </c>
      <c r="C323">
        <f>[1]FINAL!K323</f>
        <v>0</v>
      </c>
      <c r="D323" t="str">
        <f>[1]FINAL!M323</f>
        <v>LIV</v>
      </c>
    </row>
    <row r="324" spans="1:4" x14ac:dyDescent="0.3">
      <c r="A324" t="str">
        <f>[1]FINAL!A324</f>
        <v>Alexandre Moreno Lopera</v>
      </c>
      <c r="B324">
        <f>[1]FINAL!J324</f>
        <v>0</v>
      </c>
      <c r="C324">
        <f>[1]FINAL!K324</f>
        <v>0</v>
      </c>
      <c r="D324" t="str">
        <f>[1]FINAL!M324</f>
        <v>AVL</v>
      </c>
    </row>
    <row r="325" spans="1:4" x14ac:dyDescent="0.3">
      <c r="A325" t="str">
        <f>[1]FINAL!A325</f>
        <v>Ederson Santana de Moraes</v>
      </c>
      <c r="B325">
        <f>[1]FINAL!J325</f>
        <v>0</v>
      </c>
      <c r="C325">
        <f>[1]FINAL!K325</f>
        <v>0</v>
      </c>
      <c r="D325" t="str">
        <f>[1]FINAL!M325</f>
        <v>MCI</v>
      </c>
    </row>
    <row r="326" spans="1:4" x14ac:dyDescent="0.3">
      <c r="A326" t="str">
        <f>[1]FINAL!A326</f>
        <v>Thiago Emiliano da Silva</v>
      </c>
      <c r="B326">
        <f>[1]FINAL!J326</f>
        <v>0</v>
      </c>
      <c r="C326">
        <f>[1]FINAL!K326</f>
        <v>0</v>
      </c>
      <c r="D326" t="str">
        <f>[1]FINAL!M326</f>
        <v>CHE</v>
      </c>
    </row>
    <row r="327" spans="1:4" x14ac:dyDescent="0.3">
      <c r="A327" t="str">
        <f>[1]FINAL!A327</f>
        <v>Bruno Guimarães Rodriguez Moura</v>
      </c>
      <c r="B327">
        <f>[1]FINAL!J327</f>
        <v>0</v>
      </c>
      <c r="C327">
        <f>[1]FINAL!K327</f>
        <v>0</v>
      </c>
      <c r="D327" t="str">
        <f>[1]FINAL!M327</f>
        <v>NEW</v>
      </c>
    </row>
    <row r="328" spans="1:4" x14ac:dyDescent="0.3">
      <c r="A328" t="str">
        <f>[1]FINAL!A328</f>
        <v>Djed Spence</v>
      </c>
      <c r="B328">
        <f>[1]FINAL!J328</f>
        <v>0</v>
      </c>
      <c r="C328">
        <f>[1]FINAL!K328</f>
        <v>0</v>
      </c>
      <c r="D328" t="str">
        <f>[1]FINAL!M328</f>
        <v>TOT</v>
      </c>
    </row>
    <row r="329" spans="1:4" x14ac:dyDescent="0.3">
      <c r="A329" t="str">
        <f>[1]FINAL!A329</f>
        <v>Reiss Nelson</v>
      </c>
      <c r="B329">
        <f>[1]FINAL!J329</f>
        <v>0</v>
      </c>
      <c r="C329">
        <f>[1]FINAL!K329</f>
        <v>0</v>
      </c>
      <c r="D329" t="str">
        <f>[1]FINAL!M329</f>
        <v>ARS</v>
      </c>
    </row>
    <row r="330" spans="1:4" x14ac:dyDescent="0.3">
      <c r="A330" t="str">
        <f>[1]FINAL!A330</f>
        <v>Emile Smith Rowe</v>
      </c>
      <c r="B330">
        <f>[1]FINAL!J330</f>
        <v>0</v>
      </c>
      <c r="C330">
        <f>[1]FINAL!K330</f>
        <v>0</v>
      </c>
      <c r="D330" t="str">
        <f>[1]FINAL!M330</f>
        <v>ARS</v>
      </c>
    </row>
    <row r="331" spans="1:4" x14ac:dyDescent="0.3">
      <c r="A331" t="str">
        <f>[1]FINAL!A331</f>
        <v>Neal Maupay</v>
      </c>
      <c r="B331">
        <f>[1]FINAL!J331</f>
        <v>0</v>
      </c>
      <c r="C331">
        <f>[1]FINAL!K331</f>
        <v>0</v>
      </c>
      <c r="D331" t="str">
        <f>[1]FINAL!M331</f>
        <v>EVE</v>
      </c>
    </row>
    <row r="332" spans="1:4" x14ac:dyDescent="0.3">
      <c r="A332" t="str">
        <f>[1]FINAL!A332</f>
        <v>Siriki Dembélé</v>
      </c>
      <c r="B332">
        <f>[1]FINAL!J332</f>
        <v>0</v>
      </c>
      <c r="C332">
        <f>[1]FINAL!K332</f>
        <v>0</v>
      </c>
      <c r="D332" t="str">
        <f>[1]FINAL!M332</f>
        <v>BOU</v>
      </c>
    </row>
    <row r="333" spans="1:4" x14ac:dyDescent="0.3">
      <c r="A333" t="str">
        <f>[1]FINAL!A333</f>
        <v>Matt Ritchie</v>
      </c>
      <c r="B333">
        <f>[1]FINAL!J333</f>
        <v>0</v>
      </c>
      <c r="C333">
        <f>[1]FINAL!K333</f>
        <v>0</v>
      </c>
      <c r="D333" t="str">
        <f>[1]FINAL!M333</f>
        <v>NEW</v>
      </c>
    </row>
    <row r="334" spans="1:4" x14ac:dyDescent="0.3">
      <c r="A334" t="str">
        <f>[1]FINAL!A334</f>
        <v>James Garner</v>
      </c>
      <c r="B334">
        <f>[1]FINAL!J334</f>
        <v>0</v>
      </c>
      <c r="C334">
        <f>[1]FINAL!K334</f>
        <v>0</v>
      </c>
      <c r="D334" t="str">
        <f>[1]FINAL!M334</f>
        <v>EVE</v>
      </c>
    </row>
    <row r="335" spans="1:4" x14ac:dyDescent="0.3">
      <c r="A335" t="str">
        <f>[1]FINAL!A335</f>
        <v>Billy Gilmour</v>
      </c>
      <c r="B335">
        <f>[1]FINAL!J335</f>
        <v>0</v>
      </c>
      <c r="C335">
        <f>[1]FINAL!K335</f>
        <v>0</v>
      </c>
      <c r="D335" t="str">
        <f>[1]FINAL!M335</f>
        <v>BHA</v>
      </c>
    </row>
    <row r="336" spans="1:4" x14ac:dyDescent="0.3">
      <c r="A336" t="str">
        <f>[1]FINAL!A336</f>
        <v>Willy Boly</v>
      </c>
      <c r="B336">
        <f>[1]FINAL!J336</f>
        <v>0</v>
      </c>
      <c r="C336">
        <f>[1]FINAL!K336</f>
        <v>0</v>
      </c>
      <c r="D336" t="str">
        <f>[1]FINAL!M336</f>
        <v>NFO</v>
      </c>
    </row>
    <row r="337" spans="1:4" x14ac:dyDescent="0.3">
      <c r="A337" t="str">
        <f>[1]FINAL!A337</f>
        <v>Nathaniel Phillips</v>
      </c>
      <c r="B337">
        <f>[1]FINAL!J337</f>
        <v>0</v>
      </c>
      <c r="C337">
        <f>[1]FINAL!K337</f>
        <v>0</v>
      </c>
      <c r="D337" t="str">
        <f>[1]FINAL!M337</f>
        <v>LIV</v>
      </c>
    </row>
    <row r="338" spans="1:4" x14ac:dyDescent="0.3">
      <c r="A338" t="str">
        <f>[1]FINAL!A338</f>
        <v>Julio Enciso</v>
      </c>
      <c r="B338">
        <f>[1]FINAL!J338</f>
        <v>0</v>
      </c>
      <c r="C338">
        <f>[1]FINAL!K338</f>
        <v>0</v>
      </c>
      <c r="D338" t="str">
        <f>[1]FINAL!M338</f>
        <v>BHA</v>
      </c>
    </row>
    <row r="339" spans="1:4" x14ac:dyDescent="0.3">
      <c r="A339" t="str">
        <f>[1]FINAL!A339</f>
        <v>Mathias Jorgensen</v>
      </c>
      <c r="B339">
        <f>[1]FINAL!J339</f>
        <v>0</v>
      </c>
      <c r="C339">
        <f>[1]FINAL!K339</f>
        <v>0</v>
      </c>
      <c r="D339" t="str">
        <f>[1]FINAL!M339</f>
        <v>BRE</v>
      </c>
    </row>
    <row r="340" spans="1:4" x14ac:dyDescent="0.3">
      <c r="A340" t="str">
        <f>[1]FINAL!A340</f>
        <v>Toti António Gomes</v>
      </c>
      <c r="B340">
        <f>[1]FINAL!J340</f>
        <v>0</v>
      </c>
      <c r="C340">
        <f>[1]FINAL!K340</f>
        <v>0</v>
      </c>
      <c r="D340" t="str">
        <f>[1]FINAL!M340</f>
        <v>WOL</v>
      </c>
    </row>
    <row r="341" spans="1:4" x14ac:dyDescent="0.3">
      <c r="A341" t="str">
        <f>[1]FINAL!A341</f>
        <v>Fábio Ferreira Vieira</v>
      </c>
      <c r="B341">
        <f>[1]FINAL!J341</f>
        <v>0</v>
      </c>
      <c r="C341">
        <f>[1]FINAL!K341</f>
        <v>0</v>
      </c>
      <c r="D341" t="str">
        <f>[1]FINAL!M341</f>
        <v>ARS</v>
      </c>
    </row>
    <row r="342" spans="1:4" x14ac:dyDescent="0.3">
      <c r="A342" t="str">
        <f>[1]FINAL!A342</f>
        <v>Moussa Niakhaté</v>
      </c>
      <c r="B342">
        <f>[1]FINAL!J342</f>
        <v>0</v>
      </c>
      <c r="C342">
        <f>[1]FINAL!K342</f>
        <v>0</v>
      </c>
      <c r="D342" t="str">
        <f>[1]FINAL!M342</f>
        <v>NFO</v>
      </c>
    </row>
    <row r="343" spans="1:4" x14ac:dyDescent="0.3">
      <c r="A343" t="str">
        <f>[1]FINAL!A343</f>
        <v>Stefan Ortega Moreno</v>
      </c>
      <c r="B343">
        <f>[1]FINAL!J343</f>
        <v>0</v>
      </c>
      <c r="C343">
        <f>[1]FINAL!K343</f>
        <v>0</v>
      </c>
      <c r="D343" t="str">
        <f>[1]FINAL!M343</f>
        <v>MCI</v>
      </c>
    </row>
    <row r="344" spans="1:4" x14ac:dyDescent="0.3">
      <c r="A344" t="str">
        <f>[1]FINAL!A344</f>
        <v>Jeremy Sarmiento Morante</v>
      </c>
      <c r="B344">
        <f>[1]FINAL!J344</f>
        <v>0</v>
      </c>
      <c r="C344">
        <f>[1]FINAL!K344</f>
        <v>0</v>
      </c>
      <c r="D344" t="str">
        <f>[1]FINAL!M344</f>
        <v>BHA</v>
      </c>
    </row>
    <row r="345" spans="1:4" x14ac:dyDescent="0.3">
      <c r="A345" t="str">
        <f>[1]FINAL!A345</f>
        <v>Jonjo Shelvey</v>
      </c>
      <c r="B345">
        <f>[1]FINAL!J345</f>
        <v>0</v>
      </c>
      <c r="C345">
        <f>[1]FINAL!K345</f>
        <v>0</v>
      </c>
      <c r="D345" t="str">
        <f>[1]FINAL!M345</f>
        <v>NFO</v>
      </c>
    </row>
    <row r="346" spans="1:4" x14ac:dyDescent="0.3">
      <c r="A346" t="str">
        <f>[1]FINAL!A346</f>
        <v>Martin Dubravka</v>
      </c>
      <c r="B346">
        <f>[1]FINAL!J346</f>
        <v>0</v>
      </c>
      <c r="C346">
        <f>[1]FINAL!K346</f>
        <v>0</v>
      </c>
      <c r="D346" t="str">
        <f>[1]FINAL!M346</f>
        <v>NEW</v>
      </c>
    </row>
    <row r="347" spans="1:4" x14ac:dyDescent="0.3">
      <c r="A347" t="str">
        <f>[1]FINAL!A347</f>
        <v>Cédric Alves Soares</v>
      </c>
      <c r="B347">
        <f>[1]FINAL!J347</f>
        <v>0</v>
      </c>
      <c r="C347">
        <f>[1]FINAL!K347</f>
        <v>0</v>
      </c>
      <c r="D347" t="str">
        <f>[1]FINAL!M347</f>
        <v>ARS</v>
      </c>
    </row>
    <row r="348" spans="1:4" x14ac:dyDescent="0.3">
      <c r="A348" t="str">
        <f>[1]FINAL!A348</f>
        <v>Cameron Archer</v>
      </c>
      <c r="B348">
        <f>[1]FINAL!J348</f>
        <v>0</v>
      </c>
      <c r="C348">
        <f>[1]FINAL!K348</f>
        <v>0</v>
      </c>
      <c r="D348" t="str">
        <f>[1]FINAL!M348</f>
        <v>AVL</v>
      </c>
    </row>
    <row r="349" spans="1:4" x14ac:dyDescent="0.3">
      <c r="A349" t="str">
        <f>[1]FINAL!A349</f>
        <v>Jairo Riedewald</v>
      </c>
      <c r="B349">
        <f>[1]FINAL!J349</f>
        <v>0</v>
      </c>
      <c r="C349">
        <f>[1]FINAL!K349</f>
        <v>0</v>
      </c>
      <c r="D349" t="str">
        <f>[1]FINAL!M349</f>
        <v>CRY</v>
      </c>
    </row>
    <row r="350" spans="1:4" x14ac:dyDescent="0.3">
      <c r="A350" t="str">
        <f>[1]FINAL!A350</f>
        <v>Sergi Canós Tenés</v>
      </c>
      <c r="B350">
        <f>[1]FINAL!J350</f>
        <v>0</v>
      </c>
      <c r="C350">
        <f>[1]FINAL!K350</f>
        <v>0</v>
      </c>
      <c r="D350" t="str">
        <f>[1]FINAL!M350</f>
        <v>BRE</v>
      </c>
    </row>
    <row r="351" spans="1:4" x14ac:dyDescent="0.3">
      <c r="A351" t="str">
        <f>[1]FINAL!A351</f>
        <v>Halil Dervişoğlu</v>
      </c>
      <c r="B351">
        <f>[1]FINAL!J351</f>
        <v>0</v>
      </c>
      <c r="C351">
        <f>[1]FINAL!K351</f>
        <v>0</v>
      </c>
      <c r="D351" t="str">
        <f>[1]FINAL!M351</f>
        <v>BRE</v>
      </c>
    </row>
    <row r="352" spans="1:4" x14ac:dyDescent="0.3">
      <c r="A352" t="str">
        <f>[1]FINAL!A352</f>
        <v>Mads Bech Sørensen</v>
      </c>
      <c r="B352">
        <f>[1]FINAL!J352</f>
        <v>0</v>
      </c>
      <c r="C352">
        <f>[1]FINAL!K352</f>
        <v>0</v>
      </c>
      <c r="D352" t="str">
        <f>[1]FINAL!M352</f>
        <v>BRE</v>
      </c>
    </row>
    <row r="353" spans="1:4" x14ac:dyDescent="0.3">
      <c r="A353" t="str">
        <f>[1]FINAL!A353</f>
        <v>Facundo Pellistri Rebollo</v>
      </c>
      <c r="B353">
        <f>[1]FINAL!J353</f>
        <v>0</v>
      </c>
      <c r="C353">
        <f>[1]FINAL!K353</f>
        <v>0</v>
      </c>
      <c r="D353" t="str">
        <f>[1]FINAL!M353</f>
        <v>MUN</v>
      </c>
    </row>
    <row r="354" spans="1:4" x14ac:dyDescent="0.3">
      <c r="A354" t="str">
        <f>[1]FINAL!A354</f>
        <v>Javier Manquillo Gaitán</v>
      </c>
      <c r="B354">
        <f>[1]FINAL!J354</f>
        <v>0</v>
      </c>
      <c r="C354">
        <f>[1]FINAL!K354</f>
        <v>0</v>
      </c>
      <c r="D354" t="str">
        <f>[1]FINAL!M354</f>
        <v>NEW</v>
      </c>
    </row>
    <row r="355" spans="1:4" x14ac:dyDescent="0.3">
      <c r="A355" t="str">
        <f>[1]FINAL!A355</f>
        <v>Malcolm Ebiowei</v>
      </c>
      <c r="B355">
        <f>[1]FINAL!J355</f>
        <v>0</v>
      </c>
      <c r="C355">
        <f>[1]FINAL!K355</f>
        <v>0</v>
      </c>
      <c r="D355" t="str">
        <f>[1]FINAL!M355</f>
        <v>CRY</v>
      </c>
    </row>
    <row r="356" spans="1:4" x14ac:dyDescent="0.3">
      <c r="A356" t="str">
        <f>[1]FINAL!A356</f>
        <v>Morgan Sanson</v>
      </c>
      <c r="B356">
        <f>[1]FINAL!J356</f>
        <v>0</v>
      </c>
      <c r="C356">
        <f>[1]FINAL!K356</f>
        <v>0</v>
      </c>
      <c r="D356" t="str">
        <f>[1]FINAL!M356</f>
        <v>AVL</v>
      </c>
    </row>
    <row r="357" spans="1:4" x14ac:dyDescent="0.3">
      <c r="A357" t="str">
        <f>[1]FINAL!A357</f>
        <v>Jamal Lowe</v>
      </c>
      <c r="B357">
        <f>[1]FINAL!J357</f>
        <v>0</v>
      </c>
      <c r="C357">
        <f>[1]FINAL!K357</f>
        <v>0</v>
      </c>
      <c r="D357" t="str">
        <f>[1]FINAL!M357</f>
        <v>BOU</v>
      </c>
    </row>
    <row r="358" spans="1:4" x14ac:dyDescent="0.3">
      <c r="A358" t="str">
        <f>[1]FINAL!A358</f>
        <v>Dele Alli</v>
      </c>
      <c r="B358">
        <f>[1]FINAL!J358</f>
        <v>0</v>
      </c>
      <c r="C358">
        <f>[1]FINAL!K358</f>
        <v>0</v>
      </c>
      <c r="D358" t="str">
        <f>[1]FINAL!M358</f>
        <v>EVE</v>
      </c>
    </row>
    <row r="359" spans="1:4" x14ac:dyDescent="0.3">
      <c r="A359" t="str">
        <f>[1]FINAL!A359</f>
        <v>Caoimhin Kelleher</v>
      </c>
      <c r="B359">
        <f>[1]FINAL!J359</f>
        <v>0</v>
      </c>
      <c r="C359">
        <f>[1]FINAL!K359</f>
        <v>0</v>
      </c>
      <c r="D359" t="str">
        <f>[1]FINAL!M359</f>
        <v>LIV</v>
      </c>
    </row>
    <row r="360" spans="1:4" x14ac:dyDescent="0.3">
      <c r="A360" t="str">
        <f>[1]FINAL!A360</f>
        <v>Jamal Lewis</v>
      </c>
      <c r="B360">
        <f>[1]FINAL!J360</f>
        <v>0</v>
      </c>
      <c r="C360">
        <f>[1]FINAL!K360</f>
        <v>0</v>
      </c>
      <c r="D360" t="str">
        <f>[1]FINAL!M360</f>
        <v>NEW</v>
      </c>
    </row>
    <row r="361" spans="1:4" x14ac:dyDescent="0.3">
      <c r="A361" t="str">
        <f>[1]FINAL!A361</f>
        <v>Giulian Biancone</v>
      </c>
      <c r="B361">
        <f>[1]FINAL!J361</f>
        <v>0</v>
      </c>
      <c r="C361">
        <f>[1]FINAL!K361</f>
        <v>0</v>
      </c>
      <c r="D361" t="str">
        <f>[1]FINAL!M361</f>
        <v>NFO</v>
      </c>
    </row>
    <row r="362" spans="1:4" x14ac:dyDescent="0.3">
      <c r="A362" t="str">
        <f>[1]FINAL!A362</f>
        <v>Nathan Redmond</v>
      </c>
      <c r="B362">
        <f>[1]FINAL!J362</f>
        <v>0</v>
      </c>
      <c r="C362">
        <f>[1]FINAL!K362</f>
        <v>0</v>
      </c>
      <c r="D362" t="str">
        <f>[1]FINAL!M362</f>
        <v>BUR</v>
      </c>
    </row>
    <row r="363" spans="1:4" x14ac:dyDescent="0.3">
      <c r="A363" t="str">
        <f>[1]FINAL!A363</f>
        <v>Marcus Oliveira Alencar</v>
      </c>
      <c r="B363">
        <f>[1]FINAL!J363</f>
        <v>0</v>
      </c>
      <c r="C363">
        <f>[1]FINAL!K363</f>
        <v>0</v>
      </c>
      <c r="D363" t="str">
        <f>[1]FINAL!M363</f>
        <v>ARS</v>
      </c>
    </row>
    <row r="364" spans="1:4" x14ac:dyDescent="0.3">
      <c r="A364" t="str">
        <f>[1]FINAL!A364</f>
        <v>Emiliano Marcondes</v>
      </c>
      <c r="B364">
        <f>[1]FINAL!J364</f>
        <v>0</v>
      </c>
      <c r="C364">
        <f>[1]FINAL!K364</f>
        <v>0</v>
      </c>
      <c r="D364" t="str">
        <f>[1]FINAL!M364</f>
        <v>BOU</v>
      </c>
    </row>
    <row r="365" spans="1:4" x14ac:dyDescent="0.3">
      <c r="A365" t="str">
        <f>[1]FINAL!A365</f>
        <v>Nathan Redmond</v>
      </c>
      <c r="B365">
        <f>[1]FINAL!J365</f>
        <v>0</v>
      </c>
      <c r="C365">
        <f>[1]FINAL!K365</f>
        <v>0</v>
      </c>
      <c r="D365" t="str">
        <f>[1]FINAL!M365</f>
        <v>BUR</v>
      </c>
    </row>
    <row r="366" spans="1:4" x14ac:dyDescent="0.3">
      <c r="A366" t="str">
        <f>[1]FINAL!A366</f>
        <v>Tyrese Francois</v>
      </c>
      <c r="B366">
        <f>[1]FINAL!J366</f>
        <v>0</v>
      </c>
      <c r="C366">
        <f>[1]FINAL!K366</f>
        <v>0</v>
      </c>
      <c r="D366" t="str">
        <f>[1]FINAL!M366</f>
        <v>FUL</v>
      </c>
    </row>
    <row r="367" spans="1:4" x14ac:dyDescent="0.3">
      <c r="A367" t="str">
        <f>[1]FINAL!A367</f>
        <v>Emil Krafth</v>
      </c>
      <c r="B367">
        <f>[1]FINAL!J367</f>
        <v>0</v>
      </c>
      <c r="C367">
        <f>[1]FINAL!K367</f>
        <v>0</v>
      </c>
      <c r="D367" t="str">
        <f>[1]FINAL!M367</f>
        <v>NEW</v>
      </c>
    </row>
    <row r="368" spans="1:4" x14ac:dyDescent="0.3">
      <c r="A368" t="str">
        <f>[1]FINAL!A368</f>
        <v>Alex Mighten</v>
      </c>
      <c r="B368">
        <f>[1]FINAL!J368</f>
        <v>0</v>
      </c>
      <c r="C368">
        <f>[1]FINAL!K368</f>
        <v>0</v>
      </c>
      <c r="D368" t="str">
        <f>[1]FINAL!M368</f>
        <v>NFO</v>
      </c>
    </row>
    <row r="369" spans="1:4" x14ac:dyDescent="0.3">
      <c r="A369" t="str">
        <f>[1]FINAL!A369</f>
        <v>Conor Coventry</v>
      </c>
      <c r="B369">
        <f>[1]FINAL!J369</f>
        <v>0</v>
      </c>
      <c r="C369">
        <f>[1]FINAL!K369</f>
        <v>0</v>
      </c>
      <c r="D369" t="str">
        <f>[1]FINAL!M369</f>
        <v>WHU</v>
      </c>
    </row>
    <row r="370" spans="1:4" x14ac:dyDescent="0.3">
      <c r="A370" t="str">
        <f>[1]FINAL!A370</f>
        <v>Enock Agyei</v>
      </c>
      <c r="B370">
        <f>[1]FINAL!J370</f>
        <v>0</v>
      </c>
      <c r="C370">
        <f>[1]FINAL!K370</f>
        <v>0</v>
      </c>
      <c r="D370" t="str">
        <f>[1]FINAL!M370</f>
        <v>BUR</v>
      </c>
    </row>
    <row r="371" spans="1:4" x14ac:dyDescent="0.3">
      <c r="A371" t="str">
        <f>[1]FINAL!A371</f>
        <v>Ameen Al-Dakhil</v>
      </c>
      <c r="B371">
        <f>[1]FINAL!J371</f>
        <v>0</v>
      </c>
      <c r="C371">
        <f>[1]FINAL!K371</f>
        <v>0</v>
      </c>
      <c r="D371" t="str">
        <f>[1]FINAL!M371</f>
        <v>BUR</v>
      </c>
    </row>
    <row r="372" spans="1:4" x14ac:dyDescent="0.3">
      <c r="A372" t="str">
        <f>[1]FINAL!A372</f>
        <v>Samuel Bastien</v>
      </c>
      <c r="B372">
        <f>[1]FINAL!J372</f>
        <v>0</v>
      </c>
      <c r="C372">
        <f>[1]FINAL!K372</f>
        <v>0</v>
      </c>
      <c r="D372" t="str">
        <f>[1]FINAL!M372</f>
        <v>BUR</v>
      </c>
    </row>
    <row r="373" spans="1:4" x14ac:dyDescent="0.3">
      <c r="A373" t="str">
        <f>[1]FINAL!A373</f>
        <v>Manuel Benson Hedilazio</v>
      </c>
      <c r="B373">
        <f>[1]FINAL!J373</f>
        <v>0</v>
      </c>
      <c r="C373">
        <f>[1]FINAL!K373</f>
        <v>0</v>
      </c>
      <c r="D373" t="str">
        <f>[1]FINAL!M373</f>
        <v>BUR</v>
      </c>
    </row>
    <row r="374" spans="1:4" x14ac:dyDescent="0.3">
      <c r="A374" t="str">
        <f>[1]FINAL!A374</f>
        <v>Jordan Beyer</v>
      </c>
      <c r="B374">
        <f>[1]FINAL!J374</f>
        <v>0</v>
      </c>
      <c r="C374">
        <f>[1]FINAL!K374</f>
        <v>0</v>
      </c>
      <c r="D374" t="str">
        <f>[1]FINAL!M374</f>
        <v>BUR</v>
      </c>
    </row>
    <row r="375" spans="1:4" x14ac:dyDescent="0.3">
      <c r="A375" t="str">
        <f>[1]FINAL!A375</f>
        <v>Josh Brownhill</v>
      </c>
      <c r="B375">
        <f>[1]FINAL!J375</f>
        <v>0</v>
      </c>
      <c r="C375">
        <f>[1]FINAL!K375</f>
        <v>0</v>
      </c>
      <c r="D375" t="str">
        <f>[1]FINAL!M375</f>
        <v>BUR</v>
      </c>
    </row>
    <row r="376" spans="1:4" x14ac:dyDescent="0.3">
      <c r="A376" t="str">
        <f>[1]FINAL!A376</f>
        <v>Darko Churlinov</v>
      </c>
      <c r="B376">
        <f>[1]FINAL!J376</f>
        <v>0</v>
      </c>
      <c r="C376">
        <f>[1]FINAL!K376</f>
        <v>0</v>
      </c>
      <c r="D376" t="str">
        <f>[1]FINAL!M376</f>
        <v>BUR</v>
      </c>
    </row>
    <row r="377" spans="1:4" x14ac:dyDescent="0.3">
      <c r="A377" t="str">
        <f>[1]FINAL!A377</f>
        <v>Jack Cork</v>
      </c>
      <c r="B377">
        <f>[1]FINAL!J377</f>
        <v>0</v>
      </c>
      <c r="C377">
        <f>[1]FINAL!K377</f>
        <v>0</v>
      </c>
      <c r="D377" t="str">
        <f>[1]FINAL!M377</f>
        <v>BUR</v>
      </c>
    </row>
    <row r="378" spans="1:4" x14ac:dyDescent="0.3">
      <c r="A378" t="str">
        <f>[1]FINAL!A378</f>
        <v>Dara Costelloe</v>
      </c>
      <c r="B378">
        <f>[1]FINAL!J378</f>
        <v>0</v>
      </c>
      <c r="C378">
        <f>[1]FINAL!K378</f>
        <v>0</v>
      </c>
      <c r="D378" t="str">
        <f>[1]FINAL!M378</f>
        <v>BUR</v>
      </c>
    </row>
    <row r="379" spans="1:4" x14ac:dyDescent="0.3">
      <c r="A379" t="str">
        <f>[1]FINAL!A379</f>
        <v>Josh Cullen</v>
      </c>
      <c r="B379">
        <f>[1]FINAL!J379</f>
        <v>0</v>
      </c>
      <c r="C379">
        <f>[1]FINAL!K379</f>
        <v>0</v>
      </c>
      <c r="D379" t="str">
        <f>[1]FINAL!M379</f>
        <v>BUR</v>
      </c>
    </row>
    <row r="380" spans="1:4" x14ac:dyDescent="0.3">
      <c r="A380" t="str">
        <f>[1]FINAL!A380</f>
        <v>CJ Egan-Riley</v>
      </c>
      <c r="B380">
        <f>[1]FINAL!J380</f>
        <v>0</v>
      </c>
      <c r="C380">
        <f>[1]FINAL!K380</f>
        <v>0</v>
      </c>
      <c r="D380" t="str">
        <f>[1]FINAL!M380</f>
        <v>BUR</v>
      </c>
    </row>
    <row r="381" spans="1:4" x14ac:dyDescent="0.3">
      <c r="A381" t="str">
        <f>[1]FINAL!A381</f>
        <v>Hjalmar Ekdal</v>
      </c>
      <c r="B381">
        <f>[1]FINAL!J381</f>
        <v>0</v>
      </c>
      <c r="C381">
        <f>[1]FINAL!K381</f>
        <v>0</v>
      </c>
      <c r="D381" t="str">
        <f>[1]FINAL!M381</f>
        <v>BUR</v>
      </c>
    </row>
    <row r="382" spans="1:4" x14ac:dyDescent="0.3">
      <c r="A382" t="str">
        <f>[1]FINAL!A382</f>
        <v>Lyle Foster</v>
      </c>
      <c r="B382">
        <f>[1]FINAL!J382</f>
        <v>0</v>
      </c>
      <c r="C382">
        <f>[1]FINAL!K382</f>
        <v>0</v>
      </c>
      <c r="D382" t="str">
        <f>[1]FINAL!M382</f>
        <v>BUR</v>
      </c>
    </row>
    <row r="383" spans="1:4" x14ac:dyDescent="0.3">
      <c r="A383" t="str">
        <f>[1]FINAL!A383</f>
        <v>Denis Franchi</v>
      </c>
      <c r="B383">
        <f>[1]FINAL!J383</f>
        <v>0</v>
      </c>
      <c r="C383">
        <f>[1]FINAL!K383</f>
        <v>0</v>
      </c>
      <c r="D383" t="str">
        <f>[1]FINAL!M383</f>
        <v>BUR</v>
      </c>
    </row>
    <row r="384" spans="1:4" x14ac:dyDescent="0.3">
      <c r="A384" t="str">
        <f>[1]FINAL!A384</f>
        <v>Jóhann Berg Gudmundsson</v>
      </c>
      <c r="B384">
        <f>[1]FINAL!J384</f>
        <v>0</v>
      </c>
      <c r="C384">
        <f>[1]FINAL!K384</f>
        <v>0</v>
      </c>
      <c r="D384" t="str">
        <f>[1]FINAL!M384</f>
        <v>BUR</v>
      </c>
    </row>
    <row r="385" spans="1:4" x14ac:dyDescent="0.3">
      <c r="A385" t="str">
        <f>[1]FINAL!A385</f>
        <v>Luke McNally</v>
      </c>
      <c r="B385">
        <f>[1]FINAL!J385</f>
        <v>0</v>
      </c>
      <c r="C385">
        <f>[1]FINAL!K385</f>
        <v>0</v>
      </c>
      <c r="D385" t="str">
        <f>[1]FINAL!M385</f>
        <v>BUR</v>
      </c>
    </row>
    <row r="386" spans="1:4" x14ac:dyDescent="0.3">
      <c r="A386" t="str">
        <f>[1]FINAL!A386</f>
        <v>Arijanet Muric</v>
      </c>
      <c r="B386">
        <f>[1]FINAL!J386</f>
        <v>0</v>
      </c>
      <c r="C386">
        <f>[1]FINAL!K386</f>
        <v>0</v>
      </c>
      <c r="D386" t="str">
        <f>[1]FINAL!M386</f>
        <v>BUR</v>
      </c>
    </row>
    <row r="387" spans="1:4" x14ac:dyDescent="0.3">
      <c r="A387" t="str">
        <f>[1]FINAL!A387</f>
        <v>Dara O'Shea</v>
      </c>
      <c r="B387">
        <f>[1]FINAL!J387</f>
        <v>0</v>
      </c>
      <c r="C387">
        <f>[1]FINAL!K387</f>
        <v>0</v>
      </c>
      <c r="D387" t="str">
        <f>[1]FINAL!M387</f>
        <v>BUR</v>
      </c>
    </row>
    <row r="388" spans="1:4" x14ac:dyDescent="0.3">
      <c r="A388" t="str">
        <f>[1]FINAL!A388</f>
        <v>Michael Obafemi</v>
      </c>
      <c r="B388">
        <f>[1]FINAL!J388</f>
        <v>0</v>
      </c>
      <c r="C388">
        <f>[1]FINAL!K388</f>
        <v>0</v>
      </c>
      <c r="D388" t="str">
        <f>[1]FINAL!M388</f>
        <v>BUR</v>
      </c>
    </row>
    <row r="389" spans="1:4" x14ac:dyDescent="0.3">
      <c r="A389" t="str">
        <f>[1]FINAL!A389</f>
        <v>Bailey Peacock-Farrell</v>
      </c>
      <c r="B389">
        <f>[1]FINAL!J389</f>
        <v>0</v>
      </c>
      <c r="C389">
        <f>[1]FINAL!K389</f>
        <v>0</v>
      </c>
      <c r="D389" t="str">
        <f>[1]FINAL!M389</f>
        <v>BUR</v>
      </c>
    </row>
    <row r="390" spans="1:4" x14ac:dyDescent="0.3">
      <c r="A390" t="str">
        <f>[1]FINAL!A390</f>
        <v>Connor Roberts</v>
      </c>
      <c r="B390">
        <f>[1]FINAL!J390</f>
        <v>0</v>
      </c>
      <c r="C390">
        <f>[1]FINAL!K390</f>
        <v>0</v>
      </c>
      <c r="D390" t="str">
        <f>[1]FINAL!M390</f>
        <v>BUR</v>
      </c>
    </row>
    <row r="391" spans="1:4" x14ac:dyDescent="0.3">
      <c r="A391" t="str">
        <f>[1]FINAL!A391</f>
        <v>Jay Rodriguez</v>
      </c>
      <c r="B391">
        <f>[1]FINAL!J391</f>
        <v>0</v>
      </c>
      <c r="C391">
        <f>[1]FINAL!K391</f>
        <v>0</v>
      </c>
      <c r="D391" t="str">
        <f>[1]FINAL!M391</f>
        <v>BUR</v>
      </c>
    </row>
    <row r="392" spans="1:4" x14ac:dyDescent="0.3">
      <c r="A392" t="str">
        <f>[1]FINAL!A392</f>
        <v>Charlie Taylor</v>
      </c>
      <c r="B392">
        <f>[1]FINAL!J392</f>
        <v>0</v>
      </c>
      <c r="C392">
        <f>[1]FINAL!K392</f>
        <v>0</v>
      </c>
      <c r="D392" t="str">
        <f>[1]FINAL!M392</f>
        <v>BUR</v>
      </c>
    </row>
    <row r="393" spans="1:4" x14ac:dyDescent="0.3">
      <c r="A393" t="str">
        <f>[1]FINAL!A393</f>
        <v>Bobby Thomas</v>
      </c>
      <c r="B393">
        <f>[1]FINAL!J393</f>
        <v>0</v>
      </c>
      <c r="C393">
        <f>[1]FINAL!K393</f>
        <v>0</v>
      </c>
      <c r="D393" t="str">
        <f>[1]FINAL!M393</f>
        <v>BUR</v>
      </c>
    </row>
    <row r="394" spans="1:4" x14ac:dyDescent="0.3">
      <c r="A394" t="str">
        <f>[1]FINAL!A394</f>
        <v>Scott Twine</v>
      </c>
      <c r="B394">
        <f>[1]FINAL!J394</f>
        <v>0</v>
      </c>
      <c r="C394">
        <f>[1]FINAL!K394</f>
        <v>0</v>
      </c>
      <c r="D394" t="str">
        <f>[1]FINAL!M394</f>
        <v>BUR</v>
      </c>
    </row>
    <row r="395" spans="1:4" x14ac:dyDescent="0.3">
      <c r="A395" t="str">
        <f>[1]FINAL!A395</f>
        <v>Lawrence Vigouroux</v>
      </c>
      <c r="B395">
        <f>[1]FINAL!J395</f>
        <v>0</v>
      </c>
      <c r="C395">
        <f>[1]FINAL!K395</f>
        <v>0</v>
      </c>
      <c r="D395" t="str">
        <f>[1]FINAL!M395</f>
        <v>BUR</v>
      </c>
    </row>
    <row r="396" spans="1:4" x14ac:dyDescent="0.3">
      <c r="A396" t="str">
        <f>[1]FINAL!A396</f>
        <v>Victor da Silva</v>
      </c>
      <c r="B396">
        <f>[1]FINAL!J396</f>
        <v>0</v>
      </c>
      <c r="C396">
        <f>[1]FINAL!K396</f>
        <v>0</v>
      </c>
      <c r="D396" t="str">
        <f>[1]FINAL!M396</f>
        <v>BUR</v>
      </c>
    </row>
    <row r="397" spans="1:4" x14ac:dyDescent="0.3">
      <c r="A397" t="str">
        <f>[1]FINAL!A397</f>
        <v>Anass Zaroury</v>
      </c>
      <c r="B397">
        <f>[1]FINAL!J397</f>
        <v>0</v>
      </c>
      <c r="C397">
        <f>[1]FINAL!K397</f>
        <v>0</v>
      </c>
      <c r="D397" t="str">
        <f>[1]FINAL!M397</f>
        <v>BUR</v>
      </c>
    </row>
    <row r="398" spans="1:4" x14ac:dyDescent="0.3">
      <c r="A398" t="str">
        <f>[1]FINAL!A398</f>
        <v>Zeki Amdouni</v>
      </c>
      <c r="B398">
        <f>[1]FINAL!J398</f>
        <v>0</v>
      </c>
      <c r="C398">
        <f>[1]FINAL!K398</f>
        <v>0</v>
      </c>
      <c r="D398" t="str">
        <f>[1]FINAL!M398</f>
        <v>BUR</v>
      </c>
    </row>
    <row r="399" spans="1:4" x14ac:dyDescent="0.3">
      <c r="A399" t="str">
        <f>[1]FINAL!A399</f>
        <v>James Trafford</v>
      </c>
      <c r="B399">
        <f>[1]FINAL!J399</f>
        <v>0</v>
      </c>
      <c r="C399">
        <f>[1]FINAL!K399</f>
        <v>0</v>
      </c>
      <c r="D399" t="str">
        <f>[1]FINAL!M399</f>
        <v>BUR</v>
      </c>
    </row>
    <row r="400" spans="1:4" x14ac:dyDescent="0.3">
      <c r="A400" t="str">
        <f>[1]FINAL!A400</f>
        <v>Luca Koleosho</v>
      </c>
      <c r="B400">
        <f>[1]FINAL!J400</f>
        <v>0</v>
      </c>
      <c r="C400">
        <f>[1]FINAL!K400</f>
        <v>0</v>
      </c>
      <c r="D400" t="str">
        <f>[1]FINAL!M400</f>
        <v>BUR</v>
      </c>
    </row>
    <row r="401" spans="1:4" x14ac:dyDescent="0.3">
      <c r="A401" t="str">
        <f>[1]FINAL!A401</f>
        <v>Jacob Bruun Larsen</v>
      </c>
      <c r="B401">
        <f>[1]FINAL!J401</f>
        <v>0</v>
      </c>
      <c r="C401">
        <f>[1]FINAL!K401</f>
        <v>0</v>
      </c>
      <c r="D401" t="str">
        <f>[1]FINAL!M401</f>
        <v>BUR</v>
      </c>
    </row>
    <row r="402" spans="1:4" x14ac:dyDescent="0.3">
      <c r="A402" t="str">
        <f>[1]FINAL!A402</f>
        <v>Marvelous Nakamba</v>
      </c>
      <c r="B402">
        <f>[1]FINAL!J402</f>
        <v>0</v>
      </c>
      <c r="C402">
        <f>[1]FINAL!K402</f>
        <v>0</v>
      </c>
      <c r="D402" t="str">
        <f>[1]FINAL!M402</f>
        <v>LUT</v>
      </c>
    </row>
    <row r="403" spans="1:4" x14ac:dyDescent="0.3">
      <c r="A403" t="str">
        <f>[1]FINAL!A403</f>
        <v>Elijah Adebayo</v>
      </c>
      <c r="B403">
        <f>[1]FINAL!J403</f>
        <v>0</v>
      </c>
      <c r="C403">
        <f>[1]FINAL!K403</f>
        <v>0</v>
      </c>
      <c r="D403" t="str">
        <f>[1]FINAL!M403</f>
        <v>LUT</v>
      </c>
    </row>
    <row r="404" spans="1:4" x14ac:dyDescent="0.3">
      <c r="A404" t="str">
        <f>[1]FINAL!A404</f>
        <v>Mads Juel Andersen</v>
      </c>
      <c r="B404">
        <f>[1]FINAL!J404</f>
        <v>0</v>
      </c>
      <c r="C404">
        <f>[1]FINAL!K404</f>
        <v>0</v>
      </c>
      <c r="D404" t="str">
        <f>[1]FINAL!M404</f>
        <v>LUT</v>
      </c>
    </row>
    <row r="405" spans="1:4" x14ac:dyDescent="0.3">
      <c r="A405" t="str">
        <f>[1]FINAL!A405</f>
        <v>Amari'i Bell</v>
      </c>
      <c r="B405">
        <f>[1]FINAL!J405</f>
        <v>0</v>
      </c>
      <c r="C405">
        <f>[1]FINAL!K405</f>
        <v>0</v>
      </c>
      <c r="D405" t="str">
        <f>[1]FINAL!M405</f>
        <v>LUT</v>
      </c>
    </row>
    <row r="406" spans="1:4" x14ac:dyDescent="0.3">
      <c r="A406" t="str">
        <f>[1]FINAL!A406</f>
        <v>Luke Berry</v>
      </c>
      <c r="B406">
        <f>[1]FINAL!J406</f>
        <v>0</v>
      </c>
      <c r="C406">
        <f>[1]FINAL!K406</f>
        <v>0</v>
      </c>
      <c r="D406" t="str">
        <f>[1]FINAL!M406</f>
        <v>LUT</v>
      </c>
    </row>
    <row r="407" spans="1:4" x14ac:dyDescent="0.3">
      <c r="A407" t="str">
        <f>[1]FINAL!A407</f>
        <v>Reece Burke</v>
      </c>
      <c r="B407">
        <f>[1]FINAL!J407</f>
        <v>0</v>
      </c>
      <c r="C407">
        <f>[1]FINAL!K407</f>
        <v>0</v>
      </c>
      <c r="D407" t="str">
        <f>[1]FINAL!M407</f>
        <v>LUT</v>
      </c>
    </row>
    <row r="408" spans="1:4" x14ac:dyDescent="0.3">
      <c r="A408" t="str">
        <f>[1]FINAL!A408</f>
        <v>Allan Campbell</v>
      </c>
      <c r="B408">
        <f>[1]FINAL!J408</f>
        <v>0</v>
      </c>
      <c r="C408">
        <f>[1]FINAL!K408</f>
        <v>0</v>
      </c>
      <c r="D408" t="str">
        <f>[1]FINAL!M408</f>
        <v>LUT</v>
      </c>
    </row>
    <row r="409" spans="1:4" x14ac:dyDescent="0.3">
      <c r="A409" t="str">
        <f>[1]FINAL!A409</f>
        <v>Jordan Clark</v>
      </c>
      <c r="B409">
        <f>[1]FINAL!J409</f>
        <v>0</v>
      </c>
      <c r="C409">
        <f>[1]FINAL!K409</f>
        <v>0</v>
      </c>
      <c r="D409" t="str">
        <f>[1]FINAL!M409</f>
        <v>LUT</v>
      </c>
    </row>
    <row r="410" spans="1:4" x14ac:dyDescent="0.3">
      <c r="A410" t="str">
        <f>[1]FINAL!A410</f>
        <v>Alfie Doughty</v>
      </c>
      <c r="B410">
        <f>[1]FINAL!J410</f>
        <v>0</v>
      </c>
      <c r="C410">
        <f>[1]FINAL!K410</f>
        <v>0</v>
      </c>
      <c r="D410" t="str">
        <f>[1]FINAL!M410</f>
        <v>LUT</v>
      </c>
    </row>
    <row r="411" spans="1:4" x14ac:dyDescent="0.3">
      <c r="A411" t="str">
        <f>[1]FINAL!A411</f>
        <v>Luke Freeman</v>
      </c>
      <c r="B411">
        <f>[1]FINAL!J411</f>
        <v>0</v>
      </c>
      <c r="C411">
        <f>[1]FINAL!K411</f>
        <v>0</v>
      </c>
      <c r="D411" t="str">
        <f>[1]FINAL!M411</f>
        <v>LUT</v>
      </c>
    </row>
    <row r="412" spans="1:4" x14ac:dyDescent="0.3">
      <c r="A412" t="str">
        <f>[1]FINAL!A412</f>
        <v>Matt Macey</v>
      </c>
      <c r="B412">
        <f>[1]FINAL!J412</f>
        <v>0</v>
      </c>
      <c r="C412">
        <f>[1]FINAL!K412</f>
        <v>0</v>
      </c>
      <c r="D412" t="str">
        <f>[1]FINAL!M412</f>
        <v>LUT</v>
      </c>
    </row>
    <row r="413" spans="1:4" x14ac:dyDescent="0.3">
      <c r="A413" t="str">
        <f>[1]FINAL!A413</f>
        <v>John McAtee</v>
      </c>
      <c r="B413">
        <f>[1]FINAL!J413</f>
        <v>0</v>
      </c>
      <c r="C413">
        <f>[1]FINAL!K413</f>
        <v>0</v>
      </c>
      <c r="D413" t="str">
        <f>[1]FINAL!M413</f>
        <v>LUT</v>
      </c>
    </row>
    <row r="414" spans="1:4" x14ac:dyDescent="0.3">
      <c r="A414" t="str">
        <f>[1]FINAL!A414</f>
        <v>Carlos Mendes Gomes</v>
      </c>
      <c r="B414">
        <f>[1]FINAL!J414</f>
        <v>0</v>
      </c>
      <c r="C414">
        <f>[1]FINAL!K414</f>
        <v>0</v>
      </c>
      <c r="D414" t="str">
        <f>[1]FINAL!M414</f>
        <v>LUT</v>
      </c>
    </row>
    <row r="415" spans="1:4" x14ac:dyDescent="0.3">
      <c r="A415" t="str">
        <f>[1]FINAL!A415</f>
        <v>Carlton Morris</v>
      </c>
      <c r="B415">
        <f>[1]FINAL!J415</f>
        <v>0</v>
      </c>
      <c r="C415">
        <f>[1]FINAL!K415</f>
        <v>0</v>
      </c>
      <c r="D415" t="str">
        <f>[1]FINAL!M415</f>
        <v>LUT</v>
      </c>
    </row>
    <row r="416" spans="1:4" x14ac:dyDescent="0.3">
      <c r="A416" t="str">
        <f>[1]FINAL!A416</f>
        <v>Admiral Muskwe</v>
      </c>
      <c r="B416">
        <f>[1]FINAL!J416</f>
        <v>0</v>
      </c>
      <c r="C416">
        <f>[1]FINAL!K416</f>
        <v>0</v>
      </c>
      <c r="D416" t="str">
        <f>[1]FINAL!M416</f>
        <v>LUT</v>
      </c>
    </row>
    <row r="417" spans="1:4" x14ac:dyDescent="0.3">
      <c r="A417" t="str">
        <f>[1]FINAL!A417</f>
        <v>Chiedozie Ogbene</v>
      </c>
      <c r="B417">
        <f>[1]FINAL!J417</f>
        <v>0</v>
      </c>
      <c r="C417">
        <f>[1]FINAL!K417</f>
        <v>0</v>
      </c>
      <c r="D417" t="str">
        <f>[1]FINAL!M417</f>
        <v>LUT</v>
      </c>
    </row>
    <row r="418" spans="1:4" x14ac:dyDescent="0.3">
      <c r="A418" t="str">
        <f>[1]FINAL!A418</f>
        <v>Fred Onyedinma</v>
      </c>
      <c r="B418">
        <f>[1]FINAL!J418</f>
        <v>0</v>
      </c>
      <c r="C418">
        <f>[1]FINAL!K418</f>
        <v>0</v>
      </c>
      <c r="D418" t="str">
        <f>[1]FINAL!M418</f>
        <v>LUT</v>
      </c>
    </row>
    <row r="419" spans="1:4" x14ac:dyDescent="0.3">
      <c r="A419" t="str">
        <f>[1]FINAL!A419</f>
        <v>Gabriel Osho</v>
      </c>
      <c r="B419">
        <f>[1]FINAL!J419</f>
        <v>0</v>
      </c>
      <c r="C419">
        <f>[1]FINAL!K419</f>
        <v>0</v>
      </c>
      <c r="D419" t="str">
        <f>[1]FINAL!M419</f>
        <v>LUT</v>
      </c>
    </row>
    <row r="420" spans="1:4" x14ac:dyDescent="0.3">
      <c r="A420" t="str">
        <f>[1]FINAL!A420</f>
        <v>Aribim Pepple</v>
      </c>
      <c r="B420">
        <f>[1]FINAL!J420</f>
        <v>0</v>
      </c>
      <c r="C420">
        <f>[1]FINAL!K420</f>
        <v>0</v>
      </c>
      <c r="D420" t="str">
        <f>[1]FINAL!M420</f>
        <v>LUT</v>
      </c>
    </row>
    <row r="421" spans="1:4" x14ac:dyDescent="0.3">
      <c r="A421" t="str">
        <f>[1]FINAL!A421</f>
        <v>Dion Pereira</v>
      </c>
      <c r="B421">
        <f>[1]FINAL!J421</f>
        <v>0</v>
      </c>
      <c r="C421">
        <f>[1]FINAL!K421</f>
        <v>0</v>
      </c>
      <c r="D421" t="str">
        <f>[1]FINAL!M421</f>
        <v>LUT</v>
      </c>
    </row>
    <row r="422" spans="1:4" x14ac:dyDescent="0.3">
      <c r="A422" t="str">
        <f>[1]FINAL!A422</f>
        <v>Dan Potts</v>
      </c>
      <c r="B422">
        <f>[1]FINAL!J422</f>
        <v>0</v>
      </c>
      <c r="C422">
        <f>[1]FINAL!K422</f>
        <v>0</v>
      </c>
      <c r="D422" t="str">
        <f>[1]FINAL!M422</f>
        <v>LUT</v>
      </c>
    </row>
    <row r="423" spans="1:4" x14ac:dyDescent="0.3">
      <c r="A423" t="str">
        <f>[1]FINAL!A423</f>
        <v>Glen Rea</v>
      </c>
      <c r="B423">
        <f>[1]FINAL!J423</f>
        <v>0</v>
      </c>
      <c r="C423">
        <f>[1]FINAL!K423</f>
        <v>0</v>
      </c>
      <c r="D423" t="str">
        <f>[1]FINAL!M423</f>
        <v>LUT</v>
      </c>
    </row>
    <row r="424" spans="1:4" x14ac:dyDescent="0.3">
      <c r="A424" t="str">
        <f>[1]FINAL!A424</f>
        <v>James Shea</v>
      </c>
      <c r="B424">
        <f>[1]FINAL!J424</f>
        <v>0</v>
      </c>
      <c r="C424">
        <f>[1]FINAL!K424</f>
        <v>0</v>
      </c>
      <c r="D424" t="str">
        <f>[1]FINAL!M424</f>
        <v>LUT</v>
      </c>
    </row>
    <row r="425" spans="1:4" x14ac:dyDescent="0.3">
      <c r="A425" t="str">
        <f>[1]FINAL!A425</f>
        <v>Joe Taylor</v>
      </c>
      <c r="B425">
        <f>[1]FINAL!J425</f>
        <v>0</v>
      </c>
      <c r="C425">
        <f>[1]FINAL!K425</f>
        <v>0</v>
      </c>
      <c r="D425" t="str">
        <f>[1]FINAL!M425</f>
        <v>LUT</v>
      </c>
    </row>
    <row r="426" spans="1:4" x14ac:dyDescent="0.3">
      <c r="A426" t="str">
        <f>[1]FINAL!A426</f>
        <v>Elliot Thorpe</v>
      </c>
      <c r="B426">
        <f>[1]FINAL!J426</f>
        <v>0</v>
      </c>
      <c r="C426">
        <f>[1]FINAL!K426</f>
        <v>0</v>
      </c>
      <c r="D426" t="str">
        <f>[1]FINAL!M426</f>
        <v>LUT</v>
      </c>
    </row>
    <row r="427" spans="1:4" x14ac:dyDescent="0.3">
      <c r="A427" t="str">
        <f>[1]FINAL!A427</f>
        <v>Jack Walton</v>
      </c>
      <c r="B427">
        <f>[1]FINAL!J427</f>
        <v>0</v>
      </c>
      <c r="C427">
        <f>[1]FINAL!K427</f>
        <v>0</v>
      </c>
      <c r="D427" t="str">
        <f>[1]FINAL!M427</f>
        <v>LUT</v>
      </c>
    </row>
    <row r="428" spans="1:4" x14ac:dyDescent="0.3">
      <c r="A428" t="str">
        <f>[1]FINAL!A428</f>
        <v>Louie Watson</v>
      </c>
      <c r="B428">
        <f>[1]FINAL!J428</f>
        <v>0</v>
      </c>
      <c r="C428">
        <f>[1]FINAL!K428</f>
        <v>0</v>
      </c>
      <c r="D428" t="str">
        <f>[1]FINAL!M428</f>
        <v>LUT</v>
      </c>
    </row>
    <row r="429" spans="1:4" x14ac:dyDescent="0.3">
      <c r="A429" t="str">
        <f>[1]FINAL!A429</f>
        <v>Cauley Woodrow</v>
      </c>
      <c r="B429">
        <f>[1]FINAL!J429</f>
        <v>0</v>
      </c>
      <c r="C429">
        <f>[1]FINAL!K429</f>
        <v>0</v>
      </c>
      <c r="D429" t="str">
        <f>[1]FINAL!M429</f>
        <v>LUT</v>
      </c>
    </row>
    <row r="430" spans="1:4" x14ac:dyDescent="0.3">
      <c r="A430" t="str">
        <f>[1]FINAL!A430</f>
        <v>Tom Lockyer</v>
      </c>
      <c r="B430">
        <f>[1]FINAL!J430</f>
        <v>0</v>
      </c>
      <c r="C430">
        <f>[1]FINAL!K430</f>
        <v>0</v>
      </c>
      <c r="D430" t="str">
        <f>[1]FINAL!M430</f>
        <v>LUT</v>
      </c>
    </row>
    <row r="431" spans="1:4" x14ac:dyDescent="0.3">
      <c r="A431" t="str">
        <f>[1]FINAL!A431</f>
        <v>Pelly Ruddock Mpanzu</v>
      </c>
      <c r="B431">
        <f>[1]FINAL!J431</f>
        <v>0</v>
      </c>
      <c r="C431">
        <f>[1]FINAL!K431</f>
        <v>0</v>
      </c>
      <c r="D431" t="str">
        <f>[1]FINAL!M431</f>
        <v>LUT</v>
      </c>
    </row>
    <row r="432" spans="1:4" x14ac:dyDescent="0.3">
      <c r="A432" t="str">
        <f>[1]FINAL!A432</f>
        <v>Tahith Chong</v>
      </c>
      <c r="B432">
        <f>[1]FINAL!J432</f>
        <v>0</v>
      </c>
      <c r="C432">
        <f>[1]FINAL!K432</f>
        <v>0</v>
      </c>
      <c r="D432" t="str">
        <f>[1]FINAL!M432</f>
        <v>LUT</v>
      </c>
    </row>
    <row r="433" spans="1:4" x14ac:dyDescent="0.3">
      <c r="A433" t="str">
        <f>[1]FINAL!A433</f>
        <v>Issa Kaboré</v>
      </c>
      <c r="B433">
        <f>[1]FINAL!J433</f>
        <v>0</v>
      </c>
      <c r="C433">
        <f>[1]FINAL!K433</f>
        <v>0</v>
      </c>
      <c r="D433" t="str">
        <f>[1]FINAL!M433</f>
        <v>LUT</v>
      </c>
    </row>
    <row r="434" spans="1:4" x14ac:dyDescent="0.3">
      <c r="A434" t="str">
        <f>[1]FINAL!A434</f>
        <v>Anel Ahmedhodžić</v>
      </c>
      <c r="B434">
        <f>[1]FINAL!J434</f>
        <v>0</v>
      </c>
      <c r="C434">
        <f>[1]FINAL!K434</f>
        <v>0</v>
      </c>
      <c r="D434" t="str">
        <f>[1]FINAL!M434</f>
        <v>SHU</v>
      </c>
    </row>
    <row r="435" spans="1:4" x14ac:dyDescent="0.3">
      <c r="A435" t="str">
        <f>[1]FINAL!A435</f>
        <v>Jordan Amissah</v>
      </c>
      <c r="B435">
        <f>[1]FINAL!J435</f>
        <v>0</v>
      </c>
      <c r="C435">
        <f>[1]FINAL!K435</f>
        <v>0</v>
      </c>
      <c r="D435" t="str">
        <f>[1]FINAL!M435</f>
        <v>SHU</v>
      </c>
    </row>
    <row r="436" spans="1:4" x14ac:dyDescent="0.3">
      <c r="A436" t="str">
        <f>[1]FINAL!A436</f>
        <v>Chris Basham</v>
      </c>
      <c r="B436">
        <f>[1]FINAL!J436</f>
        <v>0</v>
      </c>
      <c r="C436">
        <f>[1]FINAL!K436</f>
        <v>0</v>
      </c>
      <c r="D436" t="str">
        <f>[1]FINAL!M436</f>
        <v>SHU</v>
      </c>
    </row>
    <row r="437" spans="1:4" x14ac:dyDescent="0.3">
      <c r="A437" t="str">
        <f>[1]FINAL!A437</f>
        <v>Sander Berge</v>
      </c>
      <c r="B437">
        <f>[1]FINAL!J437</f>
        <v>0</v>
      </c>
      <c r="C437">
        <f>[1]FINAL!K437</f>
        <v>0</v>
      </c>
      <c r="D437" t="str">
        <f>[1]FINAL!M437</f>
        <v>SHU</v>
      </c>
    </row>
    <row r="438" spans="1:4" x14ac:dyDescent="0.3">
      <c r="A438" t="str">
        <f>[1]FINAL!A438</f>
        <v>Jayden Bogle</v>
      </c>
      <c r="B438">
        <f>[1]FINAL!J438</f>
        <v>0</v>
      </c>
      <c r="C438">
        <f>[1]FINAL!K438</f>
        <v>0</v>
      </c>
      <c r="D438" t="str">
        <f>[1]FINAL!M438</f>
        <v>SHU</v>
      </c>
    </row>
    <row r="439" spans="1:4" x14ac:dyDescent="0.3">
      <c r="A439" t="str">
        <f>[1]FINAL!A439</f>
        <v>Rhian Brewster</v>
      </c>
      <c r="B439">
        <f>[1]FINAL!J439</f>
        <v>0</v>
      </c>
      <c r="C439">
        <f>[1]FINAL!K439</f>
        <v>0</v>
      </c>
      <c r="D439" t="str">
        <f>[1]FINAL!M439</f>
        <v>SHU</v>
      </c>
    </row>
    <row r="440" spans="1:4" x14ac:dyDescent="0.3">
      <c r="A440" t="str">
        <f>[1]FINAL!A440</f>
        <v>Ismaila Coulibaly</v>
      </c>
      <c r="B440">
        <f>[1]FINAL!J440</f>
        <v>0</v>
      </c>
      <c r="C440">
        <f>[1]FINAL!K440</f>
        <v>0</v>
      </c>
      <c r="D440" t="str">
        <f>[1]FINAL!M440</f>
        <v>SHU</v>
      </c>
    </row>
    <row r="441" spans="1:4" x14ac:dyDescent="0.3">
      <c r="A441" t="str">
        <f>[1]FINAL!A441</f>
        <v>Adam Davies</v>
      </c>
      <c r="B441">
        <f>[1]FINAL!J441</f>
        <v>0</v>
      </c>
      <c r="C441">
        <f>[1]FINAL!K441</f>
        <v>0</v>
      </c>
      <c r="D441" t="str">
        <f>[1]FINAL!M441</f>
        <v>SHU</v>
      </c>
    </row>
    <row r="442" spans="1:4" x14ac:dyDescent="0.3">
      <c r="A442" t="str">
        <f>[1]FINAL!A442</f>
        <v>John Egan</v>
      </c>
      <c r="B442">
        <f>[1]FINAL!J442</f>
        <v>0</v>
      </c>
      <c r="C442">
        <f>[1]FINAL!K442</f>
        <v>0</v>
      </c>
      <c r="D442" t="str">
        <f>[1]FINAL!M442</f>
        <v>SHU</v>
      </c>
    </row>
    <row r="443" spans="1:4" x14ac:dyDescent="0.3">
      <c r="A443" t="str">
        <f>[1]FINAL!A443</f>
        <v>John Fleck</v>
      </c>
      <c r="B443">
        <f>[1]FINAL!J443</f>
        <v>0</v>
      </c>
      <c r="C443">
        <f>[1]FINAL!K443</f>
        <v>0</v>
      </c>
      <c r="D443" t="str">
        <f>[1]FINAL!M443</f>
        <v>SHU</v>
      </c>
    </row>
    <row r="444" spans="1:4" x14ac:dyDescent="0.3">
      <c r="A444" t="str">
        <f>[1]FINAL!A444</f>
        <v>Wes Foderingham</v>
      </c>
      <c r="B444">
        <f>[1]FINAL!J444</f>
        <v>0</v>
      </c>
      <c r="C444">
        <f>[1]FINAL!K444</f>
        <v>0</v>
      </c>
      <c r="D444" t="str">
        <f>[1]FINAL!M444</f>
        <v>SHU</v>
      </c>
    </row>
    <row r="445" spans="1:4" x14ac:dyDescent="0.3">
      <c r="A445" t="str">
        <f>[1]FINAL!A445</f>
        <v>Daniel Jebbison</v>
      </c>
      <c r="B445">
        <f>[1]FINAL!J445</f>
        <v>0</v>
      </c>
      <c r="C445">
        <f>[1]FINAL!K445</f>
        <v>0</v>
      </c>
      <c r="D445" t="str">
        <f>[1]FINAL!M445</f>
        <v>SHU</v>
      </c>
    </row>
    <row r="446" spans="1:4" x14ac:dyDescent="0.3">
      <c r="A446" t="str">
        <f>[1]FINAL!A446</f>
        <v>Max Lowe</v>
      </c>
      <c r="B446">
        <f>[1]FINAL!J446</f>
        <v>0</v>
      </c>
      <c r="C446">
        <f>[1]FINAL!K446</f>
        <v>0</v>
      </c>
      <c r="D446" t="str">
        <f>[1]FINAL!M446</f>
        <v>SHU</v>
      </c>
    </row>
    <row r="447" spans="1:4" x14ac:dyDescent="0.3">
      <c r="A447" t="str">
        <f>[1]FINAL!A447</f>
        <v>Oliver McBurnie</v>
      </c>
      <c r="B447">
        <f>[1]FINAL!J447</f>
        <v>0</v>
      </c>
      <c r="C447">
        <f>[1]FINAL!K447</f>
        <v>0</v>
      </c>
      <c r="D447" t="str">
        <f>[1]FINAL!M447</f>
        <v>SHU</v>
      </c>
    </row>
    <row r="448" spans="1:4" x14ac:dyDescent="0.3">
      <c r="A448" t="str">
        <f>[1]FINAL!A448</f>
        <v>Iliman Ndiaye</v>
      </c>
      <c r="B448">
        <f>[1]FINAL!J448</f>
        <v>0</v>
      </c>
      <c r="C448">
        <f>[1]FINAL!K448</f>
        <v>0</v>
      </c>
      <c r="D448" t="str">
        <f>[1]FINAL!M448</f>
        <v>SHU</v>
      </c>
    </row>
    <row r="449" spans="1:4" x14ac:dyDescent="0.3">
      <c r="A449" t="str">
        <f>[1]FINAL!A449</f>
        <v>Rhys Norrington-Davies</v>
      </c>
      <c r="B449">
        <f>[1]FINAL!J449</f>
        <v>0</v>
      </c>
      <c r="C449">
        <f>[1]FINAL!K449</f>
        <v>0</v>
      </c>
      <c r="D449" t="str">
        <f>[1]FINAL!M449</f>
        <v>SHU</v>
      </c>
    </row>
    <row r="450" spans="1:4" x14ac:dyDescent="0.3">
      <c r="A450" t="str">
        <f>[1]FINAL!A450</f>
        <v>Oliver Norwood</v>
      </c>
      <c r="B450">
        <f>[1]FINAL!J450</f>
        <v>0</v>
      </c>
      <c r="C450">
        <f>[1]FINAL!K450</f>
        <v>0</v>
      </c>
      <c r="D450" t="str">
        <f>[1]FINAL!M450</f>
        <v>SHU</v>
      </c>
    </row>
    <row r="451" spans="1:4" x14ac:dyDescent="0.3">
      <c r="A451" t="str">
        <f>[1]FINAL!A451</f>
        <v>Ben Osborn</v>
      </c>
      <c r="B451">
        <f>[1]FINAL!J451</f>
        <v>0</v>
      </c>
      <c r="C451">
        <f>[1]FINAL!K451</f>
        <v>0</v>
      </c>
      <c r="D451" t="str">
        <f>[1]FINAL!M451</f>
        <v>SHU</v>
      </c>
    </row>
    <row r="452" spans="1:4" x14ac:dyDescent="0.3">
      <c r="A452" t="str">
        <f>[1]FINAL!A452</f>
        <v>William Osula</v>
      </c>
      <c r="B452">
        <f>[1]FINAL!J452</f>
        <v>0</v>
      </c>
      <c r="C452">
        <f>[1]FINAL!K452</f>
        <v>0</v>
      </c>
      <c r="D452" t="str">
        <f>[1]FINAL!M452</f>
        <v>SHU</v>
      </c>
    </row>
    <row r="453" spans="1:4" x14ac:dyDescent="0.3">
      <c r="A453" t="str">
        <f>[1]FINAL!A453</f>
        <v>Jack Robinson</v>
      </c>
      <c r="B453">
        <f>[1]FINAL!J453</f>
        <v>0</v>
      </c>
      <c r="C453">
        <f>[1]FINAL!K453</f>
        <v>0</v>
      </c>
      <c r="D453" t="str">
        <f>[1]FINAL!M453</f>
        <v>SHU</v>
      </c>
    </row>
    <row r="454" spans="1:4" x14ac:dyDescent="0.3">
      <c r="A454" t="str">
        <f>[1]FINAL!A454</f>
        <v>Anis Slimane</v>
      </c>
      <c r="B454">
        <f>[1]FINAL!J454</f>
        <v>0</v>
      </c>
      <c r="C454">
        <f>[1]FINAL!K454</f>
        <v>0</v>
      </c>
      <c r="D454" t="str">
        <f>[1]FINAL!M454</f>
        <v>SHU</v>
      </c>
    </row>
    <row r="455" spans="1:4" x14ac:dyDescent="0.3">
      <c r="A455" t="str">
        <f>[1]FINAL!A455</f>
        <v>Yasser Larouci</v>
      </c>
      <c r="B455">
        <f>[1]FINAL!J455</f>
        <v>0</v>
      </c>
      <c r="C455">
        <f>[1]FINAL!K455</f>
        <v>0</v>
      </c>
      <c r="D455" t="str">
        <f>[1]FINAL!M455</f>
        <v>SHU</v>
      </c>
    </row>
    <row r="456" spans="1:4" x14ac:dyDescent="0.3">
      <c r="A456" t="str">
        <f>[1]FINAL!A456</f>
        <v>Bénie Traoré</v>
      </c>
      <c r="B456">
        <f>[1]FINAL!J456</f>
        <v>0</v>
      </c>
      <c r="C456">
        <f>[1]FINAL!K456</f>
        <v>0</v>
      </c>
      <c r="D456" t="str">
        <f>[1]FINAL!M456</f>
        <v>SHU</v>
      </c>
    </row>
    <row r="457" spans="1:4" x14ac:dyDescent="0.3">
      <c r="A457">
        <f>[1]FINAL!A457</f>
        <v>0</v>
      </c>
      <c r="B457">
        <f>[1]FINAL!J457</f>
        <v>0</v>
      </c>
      <c r="C457">
        <f>[1]FINAL!K457</f>
        <v>0</v>
      </c>
      <c r="D457">
        <f>[1]FINAL!M457</f>
        <v>0</v>
      </c>
    </row>
    <row r="458" spans="1:4" x14ac:dyDescent="0.3">
      <c r="A458">
        <f>[1]FINAL!A458</f>
        <v>0</v>
      </c>
      <c r="B458">
        <f>[1]FINAL!J458</f>
        <v>0</v>
      </c>
      <c r="C458">
        <f>[1]FINAL!K458</f>
        <v>0</v>
      </c>
      <c r="D458">
        <f>[1]FINAL!M458</f>
        <v>0</v>
      </c>
    </row>
    <row r="459" spans="1:4" x14ac:dyDescent="0.3">
      <c r="A459">
        <f>[1]FINAL!A459</f>
        <v>0</v>
      </c>
      <c r="B459">
        <f>[1]FINAL!J459</f>
        <v>0</v>
      </c>
      <c r="C459">
        <f>[1]FINAL!K459</f>
        <v>0</v>
      </c>
      <c r="D459">
        <f>[1]FINAL!M459</f>
        <v>0</v>
      </c>
    </row>
    <row r="460" spans="1:4" x14ac:dyDescent="0.3">
      <c r="A460">
        <f>[1]FINAL!A460</f>
        <v>0</v>
      </c>
      <c r="B460">
        <f>[1]FINAL!J460</f>
        <v>0</v>
      </c>
      <c r="C460">
        <f>[1]FINAL!K460</f>
        <v>0</v>
      </c>
      <c r="D460">
        <f>[1]FINAL!M460</f>
        <v>0</v>
      </c>
    </row>
    <row r="461" spans="1:4" x14ac:dyDescent="0.3">
      <c r="A461">
        <f>[1]FINAL!A461</f>
        <v>0</v>
      </c>
      <c r="B461">
        <f>[1]FINAL!J461</f>
        <v>0</v>
      </c>
      <c r="C461">
        <f>[1]FINAL!K461</f>
        <v>0</v>
      </c>
      <c r="D461">
        <f>[1]FINAL!M461</f>
        <v>0</v>
      </c>
    </row>
    <row r="462" spans="1:4" x14ac:dyDescent="0.3">
      <c r="A462">
        <f>[1]FINAL!A462</f>
        <v>0</v>
      </c>
      <c r="B462">
        <f>[1]FINAL!J462</f>
        <v>0</v>
      </c>
      <c r="C462">
        <f>[1]FINAL!K462</f>
        <v>0</v>
      </c>
      <c r="D462">
        <f>[1]FINAL!M462</f>
        <v>0</v>
      </c>
    </row>
    <row r="463" spans="1:4" x14ac:dyDescent="0.3">
      <c r="A463">
        <f>[1]FINAL!A463</f>
        <v>0</v>
      </c>
      <c r="B463">
        <f>[1]FINAL!J463</f>
        <v>0</v>
      </c>
      <c r="C463">
        <f>[1]FINAL!K463</f>
        <v>0</v>
      </c>
      <c r="D463">
        <f>[1]FINAL!M463</f>
        <v>0</v>
      </c>
    </row>
    <row r="464" spans="1:4" x14ac:dyDescent="0.3">
      <c r="A464">
        <f>[1]FINAL!A464</f>
        <v>0</v>
      </c>
      <c r="B464">
        <f>[1]FINAL!J464</f>
        <v>0</v>
      </c>
      <c r="C464">
        <f>[1]FINAL!K464</f>
        <v>0</v>
      </c>
      <c r="D464">
        <f>[1]FINAL!M464</f>
        <v>0</v>
      </c>
    </row>
    <row r="465" spans="1:4" x14ac:dyDescent="0.3">
      <c r="A465">
        <f>[1]FINAL!A465</f>
        <v>0</v>
      </c>
      <c r="B465">
        <f>[1]FINAL!J465</f>
        <v>0</v>
      </c>
      <c r="C465">
        <f>[1]FINAL!K465</f>
        <v>0</v>
      </c>
      <c r="D465">
        <f>[1]FINAL!M465</f>
        <v>0</v>
      </c>
    </row>
    <row r="466" spans="1:4" x14ac:dyDescent="0.3">
      <c r="A466">
        <f>[1]FINAL!A466</f>
        <v>0</v>
      </c>
      <c r="B466">
        <f>[1]FINAL!J466</f>
        <v>0</v>
      </c>
      <c r="C466">
        <f>[1]FINAL!K466</f>
        <v>0</v>
      </c>
      <c r="D466">
        <f>[1]FINAL!M466</f>
        <v>0</v>
      </c>
    </row>
    <row r="467" spans="1:4" x14ac:dyDescent="0.3">
      <c r="A467">
        <f>[1]FINAL!A467</f>
        <v>0</v>
      </c>
      <c r="B467">
        <f>[1]FINAL!J467</f>
        <v>0</v>
      </c>
      <c r="C467">
        <f>[1]FINAL!K467</f>
        <v>0</v>
      </c>
      <c r="D467">
        <f>[1]FINAL!M467</f>
        <v>0</v>
      </c>
    </row>
    <row r="468" spans="1:4" x14ac:dyDescent="0.3">
      <c r="A468">
        <f>[1]FINAL!A468</f>
        <v>0</v>
      </c>
      <c r="B468">
        <f>[1]FINAL!J468</f>
        <v>0</v>
      </c>
      <c r="C468">
        <f>[1]FINAL!K468</f>
        <v>0</v>
      </c>
      <c r="D468">
        <f>[1]FINAL!M468</f>
        <v>0</v>
      </c>
    </row>
    <row r="469" spans="1:4" x14ac:dyDescent="0.3">
      <c r="A469">
        <f>[1]FINAL!A469</f>
        <v>0</v>
      </c>
      <c r="B469">
        <f>[1]FINAL!J469</f>
        <v>0</v>
      </c>
      <c r="C469">
        <f>[1]FINAL!K469</f>
        <v>0</v>
      </c>
      <c r="D469">
        <f>[1]FINAL!M469</f>
        <v>0</v>
      </c>
    </row>
    <row r="470" spans="1:4" x14ac:dyDescent="0.3">
      <c r="A470">
        <f>[1]FINAL!A470</f>
        <v>0</v>
      </c>
      <c r="B470">
        <f>[1]FINAL!J470</f>
        <v>0</v>
      </c>
      <c r="C470">
        <f>[1]FINAL!K470</f>
        <v>0</v>
      </c>
      <c r="D470">
        <f>[1]FINAL!M470</f>
        <v>0</v>
      </c>
    </row>
    <row r="471" spans="1:4" x14ac:dyDescent="0.3">
      <c r="A471">
        <f>[1]FINAL!A471</f>
        <v>0</v>
      </c>
      <c r="B471">
        <f>[1]FINAL!J471</f>
        <v>0</v>
      </c>
      <c r="C471">
        <f>[1]FINAL!K471</f>
        <v>0</v>
      </c>
      <c r="D471">
        <f>[1]FINAL!M471</f>
        <v>0</v>
      </c>
    </row>
    <row r="472" spans="1:4" x14ac:dyDescent="0.3">
      <c r="A472">
        <f>[1]FINAL!A472</f>
        <v>0</v>
      </c>
      <c r="B472">
        <f>[1]FINAL!J472</f>
        <v>0</v>
      </c>
      <c r="C472">
        <f>[1]FINAL!K472</f>
        <v>0</v>
      </c>
      <c r="D472">
        <f>[1]FINAL!M472</f>
        <v>0</v>
      </c>
    </row>
    <row r="473" spans="1:4" x14ac:dyDescent="0.3">
      <c r="A473">
        <f>[1]FINAL!A473</f>
        <v>0</v>
      </c>
      <c r="B473">
        <f>[1]FINAL!J473</f>
        <v>0</v>
      </c>
      <c r="C473">
        <f>[1]FINAL!K473</f>
        <v>0</v>
      </c>
      <c r="D473">
        <f>[1]FINAL!M473</f>
        <v>0</v>
      </c>
    </row>
    <row r="474" spans="1:4" x14ac:dyDescent="0.3">
      <c r="A474">
        <f>[1]FINAL!A474</f>
        <v>0</v>
      </c>
      <c r="B474">
        <f>[1]FINAL!J474</f>
        <v>0</v>
      </c>
      <c r="C474">
        <f>[1]FINAL!K474</f>
        <v>0</v>
      </c>
      <c r="D474">
        <f>[1]FINAL!M474</f>
        <v>0</v>
      </c>
    </row>
    <row r="475" spans="1:4" x14ac:dyDescent="0.3">
      <c r="A475">
        <f>[1]FINAL!A475</f>
        <v>0</v>
      </c>
      <c r="B475">
        <f>[1]FINAL!J475</f>
        <v>0</v>
      </c>
      <c r="C475">
        <f>[1]FINAL!K475</f>
        <v>0</v>
      </c>
      <c r="D475">
        <f>[1]FINAL!M475</f>
        <v>0</v>
      </c>
    </row>
    <row r="476" spans="1:4" x14ac:dyDescent="0.3">
      <c r="A476">
        <f>[1]FINAL!A476</f>
        <v>0</v>
      </c>
      <c r="B476">
        <f>[1]FINAL!J476</f>
        <v>0</v>
      </c>
      <c r="C476">
        <f>[1]FINAL!K476</f>
        <v>0</v>
      </c>
      <c r="D476">
        <f>[1]FINAL!M476</f>
        <v>0</v>
      </c>
    </row>
    <row r="477" spans="1:4" x14ac:dyDescent="0.3">
      <c r="A477">
        <f>[1]FINAL!A477</f>
        <v>0</v>
      </c>
      <c r="B477">
        <f>[1]FINAL!J477</f>
        <v>0</v>
      </c>
      <c r="C477">
        <f>[1]FINAL!K477</f>
        <v>0</v>
      </c>
      <c r="D477">
        <f>[1]FINAL!M477</f>
        <v>0</v>
      </c>
    </row>
    <row r="478" spans="1:4" x14ac:dyDescent="0.3">
      <c r="A478">
        <f>[1]FINAL!A478</f>
        <v>0</v>
      </c>
      <c r="B478">
        <f>[1]FINAL!J478</f>
        <v>0</v>
      </c>
      <c r="C478">
        <f>[1]FINAL!K478</f>
        <v>0</v>
      </c>
      <c r="D478">
        <f>[1]FINAL!M478</f>
        <v>0</v>
      </c>
    </row>
    <row r="479" spans="1:4" x14ac:dyDescent="0.3">
      <c r="A479">
        <f>[1]FINAL!A479</f>
        <v>0</v>
      </c>
      <c r="B479">
        <f>[1]FINAL!J479</f>
        <v>0</v>
      </c>
      <c r="C479">
        <f>[1]FINAL!K479</f>
        <v>0</v>
      </c>
      <c r="D479">
        <f>[1]FINAL!M479</f>
        <v>0</v>
      </c>
    </row>
    <row r="480" spans="1:4" x14ac:dyDescent="0.3">
      <c r="A480">
        <f>[1]FINAL!A480</f>
        <v>0</v>
      </c>
      <c r="B480">
        <f>[1]FINAL!J480</f>
        <v>0</v>
      </c>
      <c r="C480">
        <f>[1]FINAL!K480</f>
        <v>0</v>
      </c>
      <c r="D480">
        <f>[1]FINAL!M480</f>
        <v>0</v>
      </c>
    </row>
    <row r="481" spans="1:4" x14ac:dyDescent="0.3">
      <c r="A481">
        <f>[1]FINAL!A481</f>
        <v>0</v>
      </c>
      <c r="B481">
        <f>[1]FINAL!J481</f>
        <v>0</v>
      </c>
      <c r="C481">
        <f>[1]FINAL!K481</f>
        <v>0</v>
      </c>
      <c r="D481">
        <f>[1]FINAL!M481</f>
        <v>0</v>
      </c>
    </row>
    <row r="482" spans="1:4" x14ac:dyDescent="0.3">
      <c r="A482">
        <f>[1]FINAL!A482</f>
        <v>0</v>
      </c>
      <c r="B482">
        <f>[1]FINAL!J482</f>
        <v>0</v>
      </c>
      <c r="C482">
        <f>[1]FINAL!K482</f>
        <v>0</v>
      </c>
      <c r="D482">
        <f>[1]FINAL!M482</f>
        <v>0</v>
      </c>
    </row>
    <row r="483" spans="1:4" x14ac:dyDescent="0.3">
      <c r="A483">
        <f>[1]FINAL!A483</f>
        <v>0</v>
      </c>
      <c r="B483">
        <f>[1]FINAL!J483</f>
        <v>0</v>
      </c>
      <c r="C483">
        <f>[1]FINAL!K483</f>
        <v>0</v>
      </c>
      <c r="D483">
        <f>[1]FINAL!M483</f>
        <v>0</v>
      </c>
    </row>
    <row r="484" spans="1:4" x14ac:dyDescent="0.3">
      <c r="A484">
        <f>[1]FINAL!A484</f>
        <v>0</v>
      </c>
      <c r="B484">
        <f>[1]FINAL!J484</f>
        <v>0</v>
      </c>
      <c r="C484">
        <f>[1]FINAL!K484</f>
        <v>0</v>
      </c>
      <c r="D484">
        <f>[1]FINAL!M484</f>
        <v>0</v>
      </c>
    </row>
    <row r="485" spans="1:4" x14ac:dyDescent="0.3">
      <c r="A485">
        <f>[1]FINAL!A485</f>
        <v>0</v>
      </c>
      <c r="B485">
        <f>[1]FINAL!J485</f>
        <v>0</v>
      </c>
      <c r="C485">
        <f>[1]FINAL!K485</f>
        <v>0</v>
      </c>
      <c r="D485">
        <f>[1]FINAL!M485</f>
        <v>0</v>
      </c>
    </row>
    <row r="486" spans="1:4" x14ac:dyDescent="0.3">
      <c r="A486">
        <f>[1]FINAL!A486</f>
        <v>0</v>
      </c>
      <c r="B486">
        <f>[1]FINAL!J486</f>
        <v>0</v>
      </c>
      <c r="C486">
        <f>[1]FINAL!K486</f>
        <v>0</v>
      </c>
      <c r="D486">
        <f>[1]FINAL!M486</f>
        <v>0</v>
      </c>
    </row>
    <row r="487" spans="1:4" x14ac:dyDescent="0.3">
      <c r="A487">
        <f>[1]FINAL!A487</f>
        <v>0</v>
      </c>
      <c r="B487">
        <f>[1]FINAL!J487</f>
        <v>0</v>
      </c>
      <c r="C487">
        <f>[1]FINAL!K487</f>
        <v>0</v>
      </c>
      <c r="D487">
        <f>[1]FINAL!M487</f>
        <v>0</v>
      </c>
    </row>
    <row r="488" spans="1:4" x14ac:dyDescent="0.3">
      <c r="A488">
        <f>[1]FINAL!A488</f>
        <v>0</v>
      </c>
      <c r="B488">
        <f>[1]FINAL!J488</f>
        <v>0</v>
      </c>
      <c r="C488">
        <f>[1]FINAL!K488</f>
        <v>0</v>
      </c>
      <c r="D488">
        <f>[1]FINAL!M488</f>
        <v>0</v>
      </c>
    </row>
    <row r="489" spans="1:4" x14ac:dyDescent="0.3">
      <c r="A489">
        <f>[1]FINAL!A489</f>
        <v>0</v>
      </c>
      <c r="B489">
        <f>[1]FINAL!J489</f>
        <v>0</v>
      </c>
      <c r="C489">
        <f>[1]FINAL!K489</f>
        <v>0</v>
      </c>
      <c r="D489">
        <f>[1]FINAL!M489</f>
        <v>0</v>
      </c>
    </row>
    <row r="490" spans="1:4" x14ac:dyDescent="0.3">
      <c r="A490">
        <f>[1]FINAL!A490</f>
        <v>0</v>
      </c>
      <c r="B490">
        <f>[1]FINAL!J490</f>
        <v>0</v>
      </c>
      <c r="C490">
        <f>[1]FINAL!K490</f>
        <v>0</v>
      </c>
      <c r="D490">
        <f>[1]FINAL!M490</f>
        <v>0</v>
      </c>
    </row>
    <row r="491" spans="1:4" x14ac:dyDescent="0.3">
      <c r="A491">
        <f>[1]FINAL!A491</f>
        <v>0</v>
      </c>
      <c r="B491">
        <f>[1]FINAL!J491</f>
        <v>0</v>
      </c>
      <c r="C491">
        <f>[1]FINAL!K491</f>
        <v>0</v>
      </c>
      <c r="D491">
        <f>[1]FINAL!M491</f>
        <v>0</v>
      </c>
    </row>
    <row r="492" spans="1:4" x14ac:dyDescent="0.3">
      <c r="A492">
        <f>[1]FINAL!A492</f>
        <v>0</v>
      </c>
      <c r="B492">
        <f>[1]FINAL!J492</f>
        <v>0</v>
      </c>
      <c r="C492">
        <f>[1]FINAL!K492</f>
        <v>0</v>
      </c>
      <c r="D492">
        <f>[1]FINAL!M492</f>
        <v>0</v>
      </c>
    </row>
    <row r="493" spans="1:4" x14ac:dyDescent="0.3">
      <c r="A493">
        <f>[1]FINAL!A493</f>
        <v>0</v>
      </c>
      <c r="B493">
        <f>[1]FINAL!J493</f>
        <v>0</v>
      </c>
      <c r="C493">
        <f>[1]FINAL!K493</f>
        <v>0</v>
      </c>
      <c r="D493">
        <f>[1]FINAL!M493</f>
        <v>0</v>
      </c>
    </row>
    <row r="494" spans="1:4" x14ac:dyDescent="0.3">
      <c r="A494">
        <f>[1]FINAL!A494</f>
        <v>0</v>
      </c>
      <c r="B494">
        <f>[1]FINAL!J494</f>
        <v>0</v>
      </c>
      <c r="C494">
        <f>[1]FINAL!K494</f>
        <v>0</v>
      </c>
      <c r="D494">
        <f>[1]FINAL!M494</f>
        <v>0</v>
      </c>
    </row>
    <row r="495" spans="1:4" x14ac:dyDescent="0.3">
      <c r="A495">
        <f>[1]FINAL!A495</f>
        <v>0</v>
      </c>
      <c r="B495">
        <f>[1]FINAL!J495</f>
        <v>0</v>
      </c>
      <c r="C495">
        <f>[1]FINAL!K495</f>
        <v>0</v>
      </c>
      <c r="D495">
        <f>[1]FINAL!M495</f>
        <v>0</v>
      </c>
    </row>
    <row r="496" spans="1:4" x14ac:dyDescent="0.3">
      <c r="A496">
        <f>[1]FINAL!A496</f>
        <v>0</v>
      </c>
      <c r="B496">
        <f>[1]FINAL!J496</f>
        <v>0</v>
      </c>
      <c r="C496">
        <f>[1]FINAL!K496</f>
        <v>0</v>
      </c>
      <c r="D496">
        <f>[1]FINAL!M496</f>
        <v>0</v>
      </c>
    </row>
    <row r="497" spans="1:4" x14ac:dyDescent="0.3">
      <c r="A497">
        <f>[1]FINAL!A497</f>
        <v>0</v>
      </c>
      <c r="B497">
        <f>[1]FINAL!J497</f>
        <v>0</v>
      </c>
      <c r="C497">
        <f>[1]FINAL!K497</f>
        <v>0</v>
      </c>
      <c r="D497">
        <f>[1]FINAL!M497</f>
        <v>0</v>
      </c>
    </row>
    <row r="498" spans="1:4" x14ac:dyDescent="0.3">
      <c r="A498">
        <f>[1]FINAL!A498</f>
        <v>0</v>
      </c>
      <c r="B498">
        <f>[1]FINAL!J498</f>
        <v>0</v>
      </c>
      <c r="C498">
        <f>[1]FINAL!K498</f>
        <v>0</v>
      </c>
      <c r="D498">
        <f>[1]FINAL!M498</f>
        <v>0</v>
      </c>
    </row>
    <row r="499" spans="1:4" x14ac:dyDescent="0.3">
      <c r="A499">
        <f>[1]FINAL!A499</f>
        <v>0</v>
      </c>
      <c r="B499">
        <f>[1]FINAL!J499</f>
        <v>0</v>
      </c>
      <c r="C499">
        <f>[1]FINAL!K499</f>
        <v>0</v>
      </c>
      <c r="D499">
        <f>[1]FINAL!M499</f>
        <v>0</v>
      </c>
    </row>
    <row r="500" spans="1:4" x14ac:dyDescent="0.3">
      <c r="A500">
        <f>[1]FINAL!A500</f>
        <v>0</v>
      </c>
      <c r="B500">
        <f>[1]FINAL!J500</f>
        <v>0</v>
      </c>
      <c r="C500">
        <f>[1]FINAL!K500</f>
        <v>0</v>
      </c>
      <c r="D500">
        <f>[1]FINAL!M500</f>
        <v>0</v>
      </c>
    </row>
    <row r="501" spans="1:4" x14ac:dyDescent="0.3">
      <c r="A501">
        <f>[1]FINAL!A501</f>
        <v>0</v>
      </c>
      <c r="B501">
        <f>[1]FINAL!J501</f>
        <v>0</v>
      </c>
      <c r="C501">
        <f>[1]FINAL!K501</f>
        <v>0</v>
      </c>
      <c r="D501">
        <f>[1]FINAL!M501</f>
        <v>0</v>
      </c>
    </row>
    <row r="502" spans="1:4" x14ac:dyDescent="0.3">
      <c r="A502">
        <f>[1]FINAL!A502</f>
        <v>0</v>
      </c>
      <c r="B502">
        <f>[1]FINAL!J502</f>
        <v>0</v>
      </c>
      <c r="C502">
        <f>[1]FINAL!K502</f>
        <v>0</v>
      </c>
      <c r="D502">
        <f>[1]FINAL!M502</f>
        <v>0</v>
      </c>
    </row>
    <row r="503" spans="1:4" x14ac:dyDescent="0.3">
      <c r="A503">
        <f>[1]FINAL!A503</f>
        <v>0</v>
      </c>
      <c r="B503">
        <f>[1]FINAL!J503</f>
        <v>0</v>
      </c>
      <c r="C503">
        <f>[1]FINAL!K503</f>
        <v>0</v>
      </c>
      <c r="D503">
        <f>[1]FINAL!M503</f>
        <v>0</v>
      </c>
    </row>
    <row r="504" spans="1:4" x14ac:dyDescent="0.3">
      <c r="A504">
        <f>[1]FINAL!A504</f>
        <v>0</v>
      </c>
      <c r="B504">
        <f>[1]FINAL!J504</f>
        <v>0</v>
      </c>
      <c r="C504">
        <f>[1]FINAL!K504</f>
        <v>0</v>
      </c>
      <c r="D504">
        <f>[1]FINAL!M504</f>
        <v>0</v>
      </c>
    </row>
    <row r="505" spans="1:4" x14ac:dyDescent="0.3">
      <c r="A505">
        <f>[1]FINAL!A505</f>
        <v>0</v>
      </c>
      <c r="B505">
        <f>[1]FINAL!J505</f>
        <v>0</v>
      </c>
      <c r="C505">
        <f>[1]FINAL!K505</f>
        <v>0</v>
      </c>
      <c r="D505">
        <f>[1]FINAL!M505</f>
        <v>0</v>
      </c>
    </row>
    <row r="506" spans="1:4" x14ac:dyDescent="0.3">
      <c r="A506">
        <f>[1]FINAL!A506</f>
        <v>0</v>
      </c>
      <c r="B506">
        <f>[1]FINAL!J506</f>
        <v>0</v>
      </c>
      <c r="C506">
        <f>[1]FINAL!K506</f>
        <v>0</v>
      </c>
      <c r="D506">
        <f>[1]FINAL!M506</f>
        <v>0</v>
      </c>
    </row>
    <row r="507" spans="1:4" x14ac:dyDescent="0.3">
      <c r="A507">
        <f>[1]FINAL!A507</f>
        <v>0</v>
      </c>
      <c r="B507">
        <f>[1]FINAL!J507</f>
        <v>0</v>
      </c>
      <c r="C507">
        <f>[1]FINAL!K507</f>
        <v>0</v>
      </c>
      <c r="D507">
        <f>[1]FINAL!M507</f>
        <v>0</v>
      </c>
    </row>
    <row r="508" spans="1:4" x14ac:dyDescent="0.3">
      <c r="A508">
        <f>[1]FINAL!A508</f>
        <v>0</v>
      </c>
      <c r="B508">
        <f>[1]FINAL!J508</f>
        <v>0</v>
      </c>
      <c r="C508">
        <f>[1]FINAL!K508</f>
        <v>0</v>
      </c>
      <c r="D508">
        <f>[1]FINAL!M508</f>
        <v>0</v>
      </c>
    </row>
    <row r="509" spans="1:4" x14ac:dyDescent="0.3">
      <c r="A509">
        <f>[1]FINAL!A509</f>
        <v>0</v>
      </c>
      <c r="B509">
        <f>[1]FINAL!J509</f>
        <v>0</v>
      </c>
      <c r="C509">
        <f>[1]FINAL!K509</f>
        <v>0</v>
      </c>
      <c r="D509">
        <f>[1]FINAL!M509</f>
        <v>0</v>
      </c>
    </row>
    <row r="510" spans="1:4" x14ac:dyDescent="0.3">
      <c r="A510">
        <f>[1]FINAL!A510</f>
        <v>0</v>
      </c>
      <c r="B510">
        <f>[1]FINAL!J510</f>
        <v>0</v>
      </c>
      <c r="C510">
        <f>[1]FINAL!K510</f>
        <v>0</v>
      </c>
      <c r="D510">
        <f>[1]FINAL!M510</f>
        <v>0</v>
      </c>
    </row>
    <row r="511" spans="1:4" x14ac:dyDescent="0.3">
      <c r="A511">
        <f>[1]FINAL!A511</f>
        <v>0</v>
      </c>
      <c r="B511">
        <f>[1]FINAL!J511</f>
        <v>0</v>
      </c>
      <c r="C511">
        <f>[1]FINAL!K511</f>
        <v>0</v>
      </c>
      <c r="D511">
        <f>[1]FINAL!M511</f>
        <v>0</v>
      </c>
    </row>
    <row r="512" spans="1:4" x14ac:dyDescent="0.3">
      <c r="A512">
        <f>[1]FINAL!A512</f>
        <v>0</v>
      </c>
      <c r="B512">
        <f>[1]FINAL!J512</f>
        <v>0</v>
      </c>
      <c r="C512">
        <f>[1]FINAL!K512</f>
        <v>0</v>
      </c>
      <c r="D512">
        <f>[1]FINAL!M512</f>
        <v>0</v>
      </c>
    </row>
    <row r="513" spans="1:4" x14ac:dyDescent="0.3">
      <c r="A513">
        <f>[1]FINAL!A513</f>
        <v>0</v>
      </c>
      <c r="B513">
        <f>[1]FINAL!J513</f>
        <v>0</v>
      </c>
      <c r="C513">
        <f>[1]FINAL!K513</f>
        <v>0</v>
      </c>
      <c r="D513">
        <f>[1]FINAL!M513</f>
        <v>0</v>
      </c>
    </row>
    <row r="514" spans="1:4" x14ac:dyDescent="0.3">
      <c r="A514">
        <f>[1]FINAL!A514</f>
        <v>0</v>
      </c>
      <c r="B514">
        <f>[1]FINAL!J514</f>
        <v>0</v>
      </c>
      <c r="C514">
        <f>[1]FINAL!K514</f>
        <v>0</v>
      </c>
      <c r="D514">
        <f>[1]FINAL!M514</f>
        <v>0</v>
      </c>
    </row>
    <row r="515" spans="1:4" x14ac:dyDescent="0.3">
      <c r="A515">
        <f>[1]FINAL!A515</f>
        <v>0</v>
      </c>
      <c r="B515">
        <f>[1]FINAL!J515</f>
        <v>0</v>
      </c>
      <c r="C515">
        <f>[1]FINAL!K515</f>
        <v>0</v>
      </c>
      <c r="D515">
        <f>[1]FINAL!M515</f>
        <v>0</v>
      </c>
    </row>
    <row r="516" spans="1:4" x14ac:dyDescent="0.3">
      <c r="A516">
        <f>[1]FINAL!A516</f>
        <v>0</v>
      </c>
      <c r="B516">
        <f>[1]FINAL!J516</f>
        <v>0</v>
      </c>
      <c r="C516">
        <f>[1]FINAL!K516</f>
        <v>0</v>
      </c>
      <c r="D516">
        <f>[1]FINAL!M516</f>
        <v>0</v>
      </c>
    </row>
    <row r="517" spans="1:4" x14ac:dyDescent="0.3">
      <c r="A517">
        <f>[1]FINAL!A517</f>
        <v>0</v>
      </c>
      <c r="B517">
        <f>[1]FINAL!J517</f>
        <v>0</v>
      </c>
      <c r="C517">
        <f>[1]FINAL!K517</f>
        <v>0</v>
      </c>
      <c r="D517">
        <f>[1]FINAL!M517</f>
        <v>0</v>
      </c>
    </row>
    <row r="518" spans="1:4" x14ac:dyDescent="0.3">
      <c r="A518">
        <f>[1]FINAL!A518</f>
        <v>0</v>
      </c>
      <c r="B518">
        <f>[1]FINAL!J518</f>
        <v>0</v>
      </c>
      <c r="C518">
        <f>[1]FINAL!K518</f>
        <v>0</v>
      </c>
      <c r="D518">
        <f>[1]FINAL!M518</f>
        <v>0</v>
      </c>
    </row>
    <row r="519" spans="1:4" x14ac:dyDescent="0.3">
      <c r="A519">
        <f>[1]FINAL!A519</f>
        <v>0</v>
      </c>
      <c r="B519">
        <f>[1]FINAL!J519</f>
        <v>0</v>
      </c>
      <c r="C519">
        <f>[1]FINAL!K519</f>
        <v>0</v>
      </c>
      <c r="D519">
        <f>[1]FINAL!M519</f>
        <v>0</v>
      </c>
    </row>
    <row r="520" spans="1:4" x14ac:dyDescent="0.3">
      <c r="A520">
        <f>[1]FINAL!A520</f>
        <v>0</v>
      </c>
      <c r="B520">
        <f>[1]FINAL!J520</f>
        <v>0</v>
      </c>
      <c r="C520">
        <f>[1]FINAL!K520</f>
        <v>0</v>
      </c>
      <c r="D520">
        <f>[1]FINAL!M520</f>
        <v>0</v>
      </c>
    </row>
    <row r="521" spans="1:4" x14ac:dyDescent="0.3">
      <c r="A521">
        <f>[1]FINAL!A521</f>
        <v>0</v>
      </c>
      <c r="B521">
        <f>[1]FINAL!J521</f>
        <v>0</v>
      </c>
      <c r="C521">
        <f>[1]FINAL!K521</f>
        <v>0</v>
      </c>
      <c r="D521">
        <f>[1]FINAL!M521</f>
        <v>0</v>
      </c>
    </row>
    <row r="522" spans="1:4" x14ac:dyDescent="0.3">
      <c r="A522">
        <f>[1]FINAL!A522</f>
        <v>0</v>
      </c>
      <c r="B522">
        <f>[1]FINAL!J522</f>
        <v>0</v>
      </c>
      <c r="C522">
        <f>[1]FINAL!K522</f>
        <v>0</v>
      </c>
      <c r="D522">
        <f>[1]FINAL!M522</f>
        <v>0</v>
      </c>
    </row>
    <row r="523" spans="1:4" x14ac:dyDescent="0.3">
      <c r="A523">
        <f>[1]FINAL!A523</f>
        <v>0</v>
      </c>
      <c r="B523">
        <f>[1]FINAL!J523</f>
        <v>0</v>
      </c>
      <c r="C523">
        <f>[1]FINAL!K523</f>
        <v>0</v>
      </c>
      <c r="D523">
        <f>[1]FINAL!M523</f>
        <v>0</v>
      </c>
    </row>
    <row r="524" spans="1:4" x14ac:dyDescent="0.3">
      <c r="A524">
        <f>[1]FINAL!A524</f>
        <v>0</v>
      </c>
      <c r="B524">
        <f>[1]FINAL!J524</f>
        <v>0</v>
      </c>
      <c r="C524">
        <f>[1]FINAL!K524</f>
        <v>0</v>
      </c>
      <c r="D524">
        <f>[1]FINAL!M524</f>
        <v>0</v>
      </c>
    </row>
    <row r="525" spans="1:4" x14ac:dyDescent="0.3">
      <c r="A525">
        <f>[1]FINAL!A525</f>
        <v>0</v>
      </c>
      <c r="B525">
        <f>[1]FINAL!J525</f>
        <v>0</v>
      </c>
      <c r="C525">
        <f>[1]FINAL!K525</f>
        <v>0</v>
      </c>
      <c r="D525">
        <f>[1]FINAL!M525</f>
        <v>0</v>
      </c>
    </row>
    <row r="526" spans="1:4" x14ac:dyDescent="0.3">
      <c r="A526">
        <f>[1]FINAL!A526</f>
        <v>0</v>
      </c>
      <c r="B526">
        <f>[1]FINAL!J526</f>
        <v>0</v>
      </c>
      <c r="C526">
        <f>[1]FINAL!K526</f>
        <v>0</v>
      </c>
      <c r="D526">
        <f>[1]FINAL!M526</f>
        <v>0</v>
      </c>
    </row>
    <row r="527" spans="1:4" x14ac:dyDescent="0.3">
      <c r="A527">
        <f>[1]FINAL!A527</f>
        <v>0</v>
      </c>
      <c r="B527">
        <f>[1]FINAL!J527</f>
        <v>0</v>
      </c>
      <c r="C527">
        <f>[1]FINAL!K527</f>
        <v>0</v>
      </c>
      <c r="D527">
        <f>[1]FINAL!M527</f>
        <v>0</v>
      </c>
    </row>
    <row r="528" spans="1:4" x14ac:dyDescent="0.3">
      <c r="A528">
        <f>[1]FINAL!A528</f>
        <v>0</v>
      </c>
      <c r="B528">
        <f>[1]FINAL!J528</f>
        <v>0</v>
      </c>
      <c r="C528">
        <f>[1]FINAL!K528</f>
        <v>0</v>
      </c>
      <c r="D528">
        <f>[1]FINAL!M528</f>
        <v>0</v>
      </c>
    </row>
    <row r="529" spans="1:4" x14ac:dyDescent="0.3">
      <c r="A529">
        <f>[1]FINAL!A529</f>
        <v>0</v>
      </c>
      <c r="B529">
        <f>[1]FINAL!J529</f>
        <v>0</v>
      </c>
      <c r="C529">
        <f>[1]FINAL!K529</f>
        <v>0</v>
      </c>
      <c r="D529">
        <f>[1]FINAL!M529</f>
        <v>0</v>
      </c>
    </row>
    <row r="530" spans="1:4" x14ac:dyDescent="0.3">
      <c r="A530">
        <f>[1]FINAL!A530</f>
        <v>0</v>
      </c>
      <c r="B530">
        <f>[1]FINAL!J530</f>
        <v>0</v>
      </c>
      <c r="C530">
        <f>[1]FINAL!K530</f>
        <v>0</v>
      </c>
      <c r="D530">
        <f>[1]FINAL!M530</f>
        <v>0</v>
      </c>
    </row>
    <row r="531" spans="1:4" x14ac:dyDescent="0.3">
      <c r="A531">
        <f>[1]FINAL!A531</f>
        <v>0</v>
      </c>
      <c r="B531">
        <f>[1]FINAL!J531</f>
        <v>0</v>
      </c>
      <c r="C531">
        <f>[1]FINAL!K531</f>
        <v>0</v>
      </c>
      <c r="D531">
        <f>[1]FINAL!M531</f>
        <v>0</v>
      </c>
    </row>
    <row r="532" spans="1:4" x14ac:dyDescent="0.3">
      <c r="A532">
        <f>[1]FINAL!A532</f>
        <v>0</v>
      </c>
      <c r="B532">
        <f>[1]FINAL!J532</f>
        <v>0</v>
      </c>
      <c r="C532">
        <f>[1]FINAL!K532</f>
        <v>0</v>
      </c>
      <c r="D532">
        <f>[1]FINAL!M532</f>
        <v>0</v>
      </c>
    </row>
    <row r="533" spans="1:4" x14ac:dyDescent="0.3">
      <c r="A533">
        <f>[1]FINAL!A533</f>
        <v>0</v>
      </c>
      <c r="B533">
        <f>[1]FINAL!J533</f>
        <v>0</v>
      </c>
      <c r="C533">
        <f>[1]FINAL!K533</f>
        <v>0</v>
      </c>
      <c r="D533">
        <f>[1]FINAL!M533</f>
        <v>0</v>
      </c>
    </row>
    <row r="534" spans="1:4" x14ac:dyDescent="0.3">
      <c r="A534">
        <f>[1]FINAL!A534</f>
        <v>0</v>
      </c>
      <c r="B534">
        <f>[1]FINAL!J534</f>
        <v>0</v>
      </c>
      <c r="C534">
        <f>[1]FINAL!K534</f>
        <v>0</v>
      </c>
      <c r="D534">
        <f>[1]FINAL!M534</f>
        <v>0</v>
      </c>
    </row>
    <row r="535" spans="1:4" x14ac:dyDescent="0.3">
      <c r="A535">
        <f>[1]FINAL!A535</f>
        <v>0</v>
      </c>
      <c r="B535">
        <f>[1]FINAL!J535</f>
        <v>0</v>
      </c>
      <c r="C535">
        <f>[1]FINAL!K535</f>
        <v>0</v>
      </c>
      <c r="D535">
        <f>[1]FINAL!M535</f>
        <v>0</v>
      </c>
    </row>
    <row r="536" spans="1:4" x14ac:dyDescent="0.3">
      <c r="A536">
        <f>[1]FINAL!A536</f>
        <v>0</v>
      </c>
      <c r="B536">
        <f>[1]FINAL!J536</f>
        <v>0</v>
      </c>
      <c r="C536">
        <f>[1]FINAL!K536</f>
        <v>0</v>
      </c>
      <c r="D536">
        <f>[1]FINAL!M536</f>
        <v>0</v>
      </c>
    </row>
    <row r="537" spans="1:4" x14ac:dyDescent="0.3">
      <c r="A537">
        <f>[1]FINAL!A537</f>
        <v>0</v>
      </c>
      <c r="B537">
        <f>[1]FINAL!J537</f>
        <v>0</v>
      </c>
      <c r="C537">
        <f>[1]FINAL!K537</f>
        <v>0</v>
      </c>
      <c r="D537">
        <f>[1]FINAL!M537</f>
        <v>0</v>
      </c>
    </row>
    <row r="538" spans="1:4" x14ac:dyDescent="0.3">
      <c r="A538">
        <f>[1]FINAL!A538</f>
        <v>0</v>
      </c>
      <c r="B538">
        <f>[1]FINAL!J538</f>
        <v>0</v>
      </c>
      <c r="C538">
        <f>[1]FINAL!K538</f>
        <v>0</v>
      </c>
      <c r="D538">
        <f>[1]FINAL!M538</f>
        <v>0</v>
      </c>
    </row>
    <row r="539" spans="1:4" x14ac:dyDescent="0.3">
      <c r="A539">
        <f>[1]FINAL!A539</f>
        <v>0</v>
      </c>
      <c r="B539">
        <f>[1]FINAL!J539</f>
        <v>0</v>
      </c>
      <c r="C539">
        <f>[1]FINAL!K539</f>
        <v>0</v>
      </c>
      <c r="D539">
        <f>[1]FINAL!M539</f>
        <v>0</v>
      </c>
    </row>
    <row r="540" spans="1:4" x14ac:dyDescent="0.3">
      <c r="A540">
        <f>[1]FINAL!A540</f>
        <v>0</v>
      </c>
      <c r="B540">
        <f>[1]FINAL!J540</f>
        <v>0</v>
      </c>
      <c r="C540">
        <f>[1]FINAL!K540</f>
        <v>0</v>
      </c>
      <c r="D540">
        <f>[1]FINAL!M540</f>
        <v>0</v>
      </c>
    </row>
    <row r="541" spans="1:4" x14ac:dyDescent="0.3">
      <c r="A541">
        <f>[1]FINAL!A541</f>
        <v>0</v>
      </c>
      <c r="B541">
        <f>[1]FINAL!J541</f>
        <v>0</v>
      </c>
      <c r="C541">
        <f>[1]FINAL!K541</f>
        <v>0</v>
      </c>
      <c r="D541">
        <f>[1]FINAL!M541</f>
        <v>0</v>
      </c>
    </row>
    <row r="542" spans="1:4" x14ac:dyDescent="0.3">
      <c r="A542">
        <f>[1]FINAL!A542</f>
        <v>0</v>
      </c>
      <c r="B542">
        <f>[1]FINAL!J542</f>
        <v>0</v>
      </c>
      <c r="C542">
        <f>[1]FINAL!K542</f>
        <v>0</v>
      </c>
      <c r="D542">
        <f>[1]FINAL!M542</f>
        <v>0</v>
      </c>
    </row>
    <row r="543" spans="1:4" x14ac:dyDescent="0.3">
      <c r="A543">
        <f>[1]FINAL!A543</f>
        <v>0</v>
      </c>
      <c r="B543">
        <f>[1]FINAL!J543</f>
        <v>0</v>
      </c>
      <c r="C543">
        <f>[1]FINAL!K543</f>
        <v>0</v>
      </c>
      <c r="D543">
        <f>[1]FINAL!M543</f>
        <v>0</v>
      </c>
    </row>
    <row r="544" spans="1:4" x14ac:dyDescent="0.3">
      <c r="A544">
        <f>[1]FINAL!A544</f>
        <v>0</v>
      </c>
      <c r="B544">
        <f>[1]FINAL!J544</f>
        <v>0</v>
      </c>
      <c r="C544">
        <f>[1]FINAL!K544</f>
        <v>0</v>
      </c>
      <c r="D544">
        <f>[1]FINAL!M544</f>
        <v>0</v>
      </c>
    </row>
    <row r="545" spans="1:4" x14ac:dyDescent="0.3">
      <c r="A545">
        <f>[1]FINAL!A545</f>
        <v>0</v>
      </c>
      <c r="B545">
        <f>[1]FINAL!J545</f>
        <v>0</v>
      </c>
      <c r="C545">
        <f>[1]FINAL!K545</f>
        <v>0</v>
      </c>
      <c r="D545">
        <f>[1]FINAL!M545</f>
        <v>0</v>
      </c>
    </row>
    <row r="546" spans="1:4" x14ac:dyDescent="0.3">
      <c r="A546">
        <f>[1]FINAL!A546</f>
        <v>0</v>
      </c>
      <c r="B546">
        <f>[1]FINAL!J546</f>
        <v>0</v>
      </c>
      <c r="C546">
        <f>[1]FINAL!K546</f>
        <v>0</v>
      </c>
      <c r="D546">
        <f>[1]FINAL!M546</f>
        <v>0</v>
      </c>
    </row>
    <row r="547" spans="1:4" x14ac:dyDescent="0.3">
      <c r="A547">
        <f>[1]FINAL!A547</f>
        <v>0</v>
      </c>
      <c r="B547">
        <f>[1]FINAL!J547</f>
        <v>0</v>
      </c>
      <c r="C547">
        <f>[1]FINAL!K547</f>
        <v>0</v>
      </c>
      <c r="D547">
        <f>[1]FINAL!M547</f>
        <v>0</v>
      </c>
    </row>
    <row r="548" spans="1:4" x14ac:dyDescent="0.3">
      <c r="A548">
        <f>[1]FINAL!A548</f>
        <v>0</v>
      </c>
      <c r="B548">
        <f>[1]FINAL!J548</f>
        <v>0</v>
      </c>
      <c r="C548">
        <f>[1]FINAL!K548</f>
        <v>0</v>
      </c>
      <c r="D548">
        <f>[1]FINAL!M548</f>
        <v>0</v>
      </c>
    </row>
    <row r="549" spans="1:4" x14ac:dyDescent="0.3">
      <c r="A549">
        <f>[1]FINAL!A549</f>
        <v>0</v>
      </c>
      <c r="B549">
        <f>[1]FINAL!J549</f>
        <v>0</v>
      </c>
      <c r="C549">
        <f>[1]FINAL!K549</f>
        <v>0</v>
      </c>
      <c r="D549">
        <f>[1]FINAL!M549</f>
        <v>0</v>
      </c>
    </row>
    <row r="550" spans="1:4" x14ac:dyDescent="0.3">
      <c r="A550">
        <f>[1]FINAL!A550</f>
        <v>0</v>
      </c>
      <c r="B550">
        <f>[1]FINAL!J550</f>
        <v>0</v>
      </c>
      <c r="C550">
        <f>[1]FINAL!K550</f>
        <v>0</v>
      </c>
      <c r="D550">
        <f>[1]FINAL!M550</f>
        <v>0</v>
      </c>
    </row>
    <row r="551" spans="1:4" x14ac:dyDescent="0.3">
      <c r="A551">
        <f>[1]FINAL!A551</f>
        <v>0</v>
      </c>
      <c r="B551">
        <f>[1]FINAL!J551</f>
        <v>0</v>
      </c>
      <c r="C551">
        <f>[1]FINAL!K551</f>
        <v>0</v>
      </c>
      <c r="D551">
        <f>[1]FINAL!M551</f>
        <v>0</v>
      </c>
    </row>
    <row r="552" spans="1:4" x14ac:dyDescent="0.3">
      <c r="A552" t="str">
        <f>[1]FINAL!A552</f>
        <v>0 0</v>
      </c>
      <c r="B552">
        <f>[1]FINAL!J552</f>
        <v>0</v>
      </c>
      <c r="C552">
        <f>[1]FINAL!K552</f>
        <v>0</v>
      </c>
      <c r="D552" t="str">
        <f>[1]FINAL!M552</f>
        <v/>
      </c>
    </row>
    <row r="553" spans="1:4" x14ac:dyDescent="0.3">
      <c r="A553" t="str">
        <f>[1]FINAL!A553</f>
        <v>0 0</v>
      </c>
      <c r="B553">
        <f>[1]FINAL!J553</f>
        <v>0</v>
      </c>
      <c r="C553">
        <f>[1]FINAL!K553</f>
        <v>0</v>
      </c>
      <c r="D553" t="str">
        <f>[1]FINAL!M553</f>
        <v/>
      </c>
    </row>
    <row r="554" spans="1:4" x14ac:dyDescent="0.3">
      <c r="A554" t="str">
        <f>[1]FINAL!A554</f>
        <v>0 0</v>
      </c>
      <c r="B554">
        <f>[1]FINAL!J554</f>
        <v>0</v>
      </c>
      <c r="C554">
        <f>[1]FINAL!K554</f>
        <v>0</v>
      </c>
      <c r="D554" t="str">
        <f>[1]FINAL!M554</f>
        <v/>
      </c>
    </row>
    <row r="555" spans="1:4" x14ac:dyDescent="0.3">
      <c r="A555" t="str">
        <f>[1]FINAL!A555</f>
        <v>0 0</v>
      </c>
      <c r="B555">
        <f>[1]FINAL!J555</f>
        <v>0</v>
      </c>
      <c r="C555">
        <f>[1]FINAL!K555</f>
        <v>0</v>
      </c>
      <c r="D555" t="str">
        <f>[1]FINAL!M555</f>
        <v/>
      </c>
    </row>
    <row r="556" spans="1:4" x14ac:dyDescent="0.3">
      <c r="A556" t="str">
        <f>[1]FINAL!A556</f>
        <v>0 0</v>
      </c>
      <c r="B556">
        <f>[1]FINAL!J556</f>
        <v>0</v>
      </c>
      <c r="C556">
        <f>[1]FINAL!K556</f>
        <v>0</v>
      </c>
      <c r="D556" t="str">
        <f>[1]FINAL!M556</f>
        <v/>
      </c>
    </row>
    <row r="557" spans="1:4" x14ac:dyDescent="0.3">
      <c r="A557" t="str">
        <f>[1]FINAL!A557</f>
        <v>0 0</v>
      </c>
      <c r="B557">
        <f>[1]FINAL!J557</f>
        <v>0</v>
      </c>
      <c r="C557">
        <f>[1]FINAL!K557</f>
        <v>0</v>
      </c>
      <c r="D557" t="str">
        <f>[1]FINAL!M557</f>
        <v/>
      </c>
    </row>
    <row r="558" spans="1:4" x14ac:dyDescent="0.3">
      <c r="A558" t="str">
        <f>[1]FINAL!A558</f>
        <v>0 0</v>
      </c>
      <c r="B558">
        <f>[1]FINAL!J558</f>
        <v>0</v>
      </c>
      <c r="C558">
        <f>[1]FINAL!K558</f>
        <v>0</v>
      </c>
      <c r="D558" t="str">
        <f>[1]FINAL!M558</f>
        <v/>
      </c>
    </row>
    <row r="559" spans="1:4" x14ac:dyDescent="0.3">
      <c r="A559" t="str">
        <f>[1]FINAL!A559</f>
        <v>0 0</v>
      </c>
      <c r="B559">
        <f>[1]FINAL!J559</f>
        <v>0</v>
      </c>
      <c r="C559">
        <f>[1]FINAL!K559</f>
        <v>0</v>
      </c>
      <c r="D559" t="str">
        <f>[1]FINAL!M559</f>
        <v/>
      </c>
    </row>
    <row r="560" spans="1:4" x14ac:dyDescent="0.3">
      <c r="A560" t="str">
        <f>[1]FINAL!A560</f>
        <v>0 0</v>
      </c>
      <c r="B560">
        <f>[1]FINAL!J560</f>
        <v>0</v>
      </c>
      <c r="C560">
        <f>[1]FINAL!K560</f>
        <v>0</v>
      </c>
      <c r="D560" t="str">
        <f>[1]FINAL!M560</f>
        <v/>
      </c>
    </row>
    <row r="561" spans="1:4" x14ac:dyDescent="0.3">
      <c r="A561" t="str">
        <f>[1]FINAL!A561</f>
        <v>0 0</v>
      </c>
      <c r="B561">
        <f>[1]FINAL!J561</f>
        <v>0</v>
      </c>
      <c r="C561">
        <f>[1]FINAL!K561</f>
        <v>0</v>
      </c>
      <c r="D561" t="str">
        <f>[1]FINAL!M561</f>
        <v/>
      </c>
    </row>
    <row r="562" spans="1:4" x14ac:dyDescent="0.3">
      <c r="A562" t="str">
        <f>[1]FINAL!A562</f>
        <v>0 0</v>
      </c>
      <c r="B562">
        <f>[1]FINAL!J562</f>
        <v>0</v>
      </c>
      <c r="C562">
        <f>[1]FINAL!K562</f>
        <v>0</v>
      </c>
      <c r="D562" t="str">
        <f>[1]FINAL!M562</f>
        <v/>
      </c>
    </row>
    <row r="563" spans="1:4" x14ac:dyDescent="0.3">
      <c r="A563" t="str">
        <f>[1]FINAL!A563</f>
        <v>0 0</v>
      </c>
      <c r="B563">
        <f>[1]FINAL!J563</f>
        <v>0</v>
      </c>
      <c r="C563">
        <f>[1]FINAL!K563</f>
        <v>0</v>
      </c>
      <c r="D563" t="str">
        <f>[1]FINAL!M563</f>
        <v/>
      </c>
    </row>
    <row r="564" spans="1:4" x14ac:dyDescent="0.3">
      <c r="A564" t="str">
        <f>[1]FINAL!A564</f>
        <v>0 0</v>
      </c>
      <c r="B564">
        <f>[1]FINAL!J564</f>
        <v>0</v>
      </c>
      <c r="C564">
        <f>[1]FINAL!K564</f>
        <v>0</v>
      </c>
      <c r="D564" t="str">
        <f>[1]FINAL!M564</f>
        <v/>
      </c>
    </row>
    <row r="565" spans="1:4" x14ac:dyDescent="0.3">
      <c r="A565" t="str">
        <f>[1]FINAL!A565</f>
        <v>0 0</v>
      </c>
      <c r="B565">
        <f>[1]FINAL!J565</f>
        <v>0</v>
      </c>
      <c r="C565">
        <f>[1]FINAL!K565</f>
        <v>0</v>
      </c>
      <c r="D565" t="str">
        <f>[1]FINAL!M565</f>
        <v/>
      </c>
    </row>
    <row r="566" spans="1:4" x14ac:dyDescent="0.3">
      <c r="A566" t="str">
        <f>[1]FINAL!A566</f>
        <v>0 0</v>
      </c>
      <c r="B566">
        <f>[1]FINAL!J566</f>
        <v>0</v>
      </c>
      <c r="C566">
        <f>[1]FINAL!K566</f>
        <v>0</v>
      </c>
      <c r="D566" t="str">
        <f>[1]FINAL!M566</f>
        <v/>
      </c>
    </row>
    <row r="567" spans="1:4" x14ac:dyDescent="0.3">
      <c r="A567" t="str">
        <f>[1]FINAL!A567</f>
        <v>0 0</v>
      </c>
      <c r="B567">
        <f>[1]FINAL!J567</f>
        <v>0</v>
      </c>
      <c r="C567">
        <f>[1]FINAL!K567</f>
        <v>0</v>
      </c>
      <c r="D567" t="str">
        <f>[1]FINAL!M567</f>
        <v/>
      </c>
    </row>
    <row r="568" spans="1:4" x14ac:dyDescent="0.3">
      <c r="A568" t="str">
        <f>[1]FINAL!A568</f>
        <v>0 0</v>
      </c>
      <c r="B568">
        <f>[1]FINAL!J568</f>
        <v>0</v>
      </c>
      <c r="C568">
        <f>[1]FINAL!K568</f>
        <v>0</v>
      </c>
      <c r="D568" t="str">
        <f>[1]FINAL!M568</f>
        <v/>
      </c>
    </row>
    <row r="569" spans="1:4" x14ac:dyDescent="0.3">
      <c r="A569" t="str">
        <f>[1]FINAL!A569</f>
        <v>0 0</v>
      </c>
      <c r="B569">
        <f>[1]FINAL!J569</f>
        <v>0</v>
      </c>
      <c r="C569">
        <f>[1]FINAL!K569</f>
        <v>0</v>
      </c>
      <c r="D569" t="str">
        <f>[1]FINAL!M569</f>
        <v/>
      </c>
    </row>
    <row r="570" spans="1:4" x14ac:dyDescent="0.3">
      <c r="A570" t="str">
        <f>[1]FINAL!A570</f>
        <v>0 0</v>
      </c>
      <c r="B570">
        <f>[1]FINAL!J570</f>
        <v>0</v>
      </c>
      <c r="C570">
        <f>[1]FINAL!K570</f>
        <v>0</v>
      </c>
      <c r="D570" t="str">
        <f>[1]FINAL!M570</f>
        <v/>
      </c>
    </row>
    <row r="571" spans="1:4" x14ac:dyDescent="0.3">
      <c r="A571" t="str">
        <f>[1]FINAL!A571</f>
        <v>0 0</v>
      </c>
      <c r="B571">
        <f>[1]FINAL!J571</f>
        <v>0</v>
      </c>
      <c r="C571">
        <f>[1]FINAL!K571</f>
        <v>0</v>
      </c>
      <c r="D571" t="str">
        <f>[1]FINAL!M571</f>
        <v/>
      </c>
    </row>
    <row r="572" spans="1:4" x14ac:dyDescent="0.3">
      <c r="A572" t="str">
        <f>[1]FINAL!A572</f>
        <v>0 0</v>
      </c>
      <c r="B572">
        <f>[1]FINAL!J572</f>
        <v>0</v>
      </c>
      <c r="C572">
        <f>[1]FINAL!K572</f>
        <v>0</v>
      </c>
      <c r="D572" t="str">
        <f>[1]FINAL!M572</f>
        <v/>
      </c>
    </row>
    <row r="573" spans="1:4" x14ac:dyDescent="0.3">
      <c r="A573" t="str">
        <f>[1]FINAL!A573</f>
        <v>0 0</v>
      </c>
      <c r="B573">
        <f>[1]FINAL!J573</f>
        <v>0</v>
      </c>
      <c r="C573">
        <f>[1]FINAL!K573</f>
        <v>0</v>
      </c>
      <c r="D573" t="str">
        <f>[1]FINAL!M573</f>
        <v/>
      </c>
    </row>
    <row r="574" spans="1:4" x14ac:dyDescent="0.3">
      <c r="A574" t="str">
        <f>[1]FINAL!A574</f>
        <v>0 0</v>
      </c>
      <c r="B574">
        <f>[1]FINAL!J574</f>
        <v>0</v>
      </c>
      <c r="C574">
        <f>[1]FINAL!K574</f>
        <v>0</v>
      </c>
      <c r="D574" t="str">
        <f>[1]FINAL!M574</f>
        <v/>
      </c>
    </row>
    <row r="575" spans="1:4" x14ac:dyDescent="0.3">
      <c r="A575" t="str">
        <f>[1]FINAL!A575</f>
        <v>0 0</v>
      </c>
      <c r="B575">
        <f>[1]FINAL!J575</f>
        <v>0</v>
      </c>
      <c r="C575">
        <f>[1]FINAL!K575</f>
        <v>0</v>
      </c>
      <c r="D575" t="str">
        <f>[1]FINAL!M575</f>
        <v/>
      </c>
    </row>
    <row r="576" spans="1:4" x14ac:dyDescent="0.3">
      <c r="A576" t="str">
        <f>[1]FINAL!A576</f>
        <v>0 0</v>
      </c>
      <c r="B576">
        <f>[1]FINAL!J576</f>
        <v>0</v>
      </c>
      <c r="C576">
        <f>[1]FINAL!K576</f>
        <v>0</v>
      </c>
      <c r="D576" t="str">
        <f>[1]FINAL!M576</f>
        <v/>
      </c>
    </row>
    <row r="577" spans="1:4" x14ac:dyDescent="0.3">
      <c r="A577" t="str">
        <f>[1]FINAL!A577</f>
        <v>0 0</v>
      </c>
      <c r="B577">
        <f>[1]FINAL!J577</f>
        <v>0</v>
      </c>
      <c r="C577">
        <f>[1]FINAL!K577</f>
        <v>0</v>
      </c>
      <c r="D577" t="str">
        <f>[1]FINAL!M577</f>
        <v/>
      </c>
    </row>
    <row r="578" spans="1:4" x14ac:dyDescent="0.3">
      <c r="A578" t="str">
        <f>[1]FINAL!A578</f>
        <v>0 0</v>
      </c>
      <c r="B578">
        <f>[1]FINAL!J578</f>
        <v>0</v>
      </c>
      <c r="C578">
        <f>[1]FINAL!K578</f>
        <v>0</v>
      </c>
      <c r="D578" t="str">
        <f>[1]FINAL!M578</f>
        <v/>
      </c>
    </row>
    <row r="579" spans="1:4" x14ac:dyDescent="0.3">
      <c r="A579" t="str">
        <f>[1]FINAL!A579</f>
        <v>0 0</v>
      </c>
      <c r="B579">
        <f>[1]FINAL!J579</f>
        <v>0</v>
      </c>
      <c r="C579">
        <f>[1]FINAL!K579</f>
        <v>0</v>
      </c>
      <c r="D579" t="str">
        <f>[1]FINAL!M579</f>
        <v/>
      </c>
    </row>
    <row r="580" spans="1:4" x14ac:dyDescent="0.3">
      <c r="A580" t="str">
        <f>[1]FINAL!A580</f>
        <v>0 0</v>
      </c>
      <c r="B580">
        <f>[1]FINAL!J580</f>
        <v>0</v>
      </c>
      <c r="C580">
        <f>[1]FINAL!K580</f>
        <v>0</v>
      </c>
      <c r="D580" t="str">
        <f>[1]FINAL!M580</f>
        <v/>
      </c>
    </row>
    <row r="581" spans="1:4" x14ac:dyDescent="0.3">
      <c r="A581" t="str">
        <f>[1]FINAL!A581</f>
        <v>0 0</v>
      </c>
      <c r="B581">
        <f>[1]FINAL!J581</f>
        <v>0</v>
      </c>
      <c r="C581">
        <f>[1]FINAL!K581</f>
        <v>0</v>
      </c>
      <c r="D581" t="str">
        <f>[1]FINAL!M581</f>
        <v/>
      </c>
    </row>
    <row r="582" spans="1:4" x14ac:dyDescent="0.3">
      <c r="A582" t="str">
        <f>[1]FINAL!A582</f>
        <v>0 0</v>
      </c>
      <c r="B582">
        <f>[1]FINAL!J582</f>
        <v>0</v>
      </c>
      <c r="C582">
        <f>[1]FINAL!K582</f>
        <v>0</v>
      </c>
      <c r="D582" t="str">
        <f>[1]FINAL!M582</f>
        <v/>
      </c>
    </row>
    <row r="583" spans="1:4" x14ac:dyDescent="0.3">
      <c r="A583" t="str">
        <f>[1]FINAL!A583</f>
        <v>0 0</v>
      </c>
      <c r="B583">
        <f>[1]FINAL!J583</f>
        <v>0</v>
      </c>
      <c r="C583">
        <f>[1]FINAL!K583</f>
        <v>0</v>
      </c>
      <c r="D583" t="str">
        <f>[1]FINAL!M583</f>
        <v/>
      </c>
    </row>
    <row r="584" spans="1:4" x14ac:dyDescent="0.3">
      <c r="A584" t="str">
        <f>[1]FINAL!A584</f>
        <v>0 0</v>
      </c>
      <c r="B584">
        <f>[1]FINAL!J584</f>
        <v>0</v>
      </c>
      <c r="C584">
        <f>[1]FINAL!K584</f>
        <v>0</v>
      </c>
      <c r="D584" t="str">
        <f>[1]FINAL!M584</f>
        <v/>
      </c>
    </row>
    <row r="585" spans="1:4" x14ac:dyDescent="0.3">
      <c r="A585" t="str">
        <f>[1]FINAL!A585</f>
        <v>0 0</v>
      </c>
      <c r="B585">
        <f>[1]FINAL!J585</f>
        <v>0</v>
      </c>
      <c r="C585">
        <f>[1]FINAL!K585</f>
        <v>0</v>
      </c>
      <c r="D585" t="str">
        <f>[1]FINAL!M585</f>
        <v/>
      </c>
    </row>
    <row r="586" spans="1:4" x14ac:dyDescent="0.3">
      <c r="A586" t="str">
        <f>[1]FINAL!A586</f>
        <v>0 0</v>
      </c>
      <c r="B586">
        <f>[1]FINAL!J586</f>
        <v>0</v>
      </c>
      <c r="C586">
        <f>[1]FINAL!K586</f>
        <v>0</v>
      </c>
      <c r="D586" t="str">
        <f>[1]FINAL!M586</f>
        <v/>
      </c>
    </row>
    <row r="587" spans="1:4" x14ac:dyDescent="0.3">
      <c r="A587" t="str">
        <f>[1]FINAL!A587</f>
        <v>0 0</v>
      </c>
      <c r="B587">
        <f>[1]FINAL!J587</f>
        <v>0</v>
      </c>
      <c r="C587">
        <f>[1]FINAL!K587</f>
        <v>0</v>
      </c>
      <c r="D587" t="str">
        <f>[1]FINAL!M587</f>
        <v/>
      </c>
    </row>
    <row r="588" spans="1:4" x14ac:dyDescent="0.3">
      <c r="A588" t="str">
        <f>[1]FINAL!A588</f>
        <v>0 0</v>
      </c>
      <c r="B588">
        <f>[1]FINAL!J588</f>
        <v>0</v>
      </c>
      <c r="C588">
        <f>[1]FINAL!K588</f>
        <v>0</v>
      </c>
      <c r="D588" t="str">
        <f>[1]FINAL!M588</f>
        <v/>
      </c>
    </row>
    <row r="589" spans="1:4" x14ac:dyDescent="0.3">
      <c r="A589" t="str">
        <f>[1]FINAL!A589</f>
        <v>0 0</v>
      </c>
      <c r="B589">
        <f>[1]FINAL!J589</f>
        <v>0</v>
      </c>
      <c r="C589">
        <f>[1]FINAL!K589</f>
        <v>0</v>
      </c>
      <c r="D589" t="str">
        <f>[1]FINAL!M589</f>
        <v/>
      </c>
    </row>
    <row r="590" spans="1:4" x14ac:dyDescent="0.3">
      <c r="A590" t="str">
        <f>[1]FINAL!A590</f>
        <v>0 0</v>
      </c>
      <c r="B590">
        <f>[1]FINAL!J590</f>
        <v>0</v>
      </c>
      <c r="C590">
        <f>[1]FINAL!K590</f>
        <v>0</v>
      </c>
      <c r="D590" t="str">
        <f>[1]FINAL!M590</f>
        <v/>
      </c>
    </row>
    <row r="591" spans="1:4" x14ac:dyDescent="0.3">
      <c r="A591" t="str">
        <f>[1]FINAL!A591</f>
        <v>0 0</v>
      </c>
      <c r="B591">
        <f>[1]FINAL!J591</f>
        <v>0</v>
      </c>
      <c r="C591">
        <f>[1]FINAL!K591</f>
        <v>0</v>
      </c>
      <c r="D591" t="str">
        <f>[1]FINAL!M591</f>
        <v/>
      </c>
    </row>
    <row r="592" spans="1:4" x14ac:dyDescent="0.3">
      <c r="A592" t="str">
        <f>[1]FINAL!A592</f>
        <v>0 0</v>
      </c>
      <c r="B592">
        <f>[1]FINAL!J592</f>
        <v>0</v>
      </c>
      <c r="C592">
        <f>[1]FINAL!K592</f>
        <v>0</v>
      </c>
      <c r="D592" t="str">
        <f>[1]FINAL!M592</f>
        <v/>
      </c>
    </row>
    <row r="593" spans="1:4" x14ac:dyDescent="0.3">
      <c r="A593" t="str">
        <f>[1]FINAL!A593</f>
        <v>0 0</v>
      </c>
      <c r="B593">
        <f>[1]FINAL!J593</f>
        <v>0</v>
      </c>
      <c r="C593">
        <f>[1]FINAL!K593</f>
        <v>0</v>
      </c>
      <c r="D593" t="str">
        <f>[1]FINAL!M593</f>
        <v/>
      </c>
    </row>
    <row r="594" spans="1:4" x14ac:dyDescent="0.3">
      <c r="A594" t="str">
        <f>[1]FINAL!A594</f>
        <v>0 0</v>
      </c>
      <c r="B594">
        <f>[1]FINAL!J594</f>
        <v>0</v>
      </c>
      <c r="C594">
        <f>[1]FINAL!K594</f>
        <v>0</v>
      </c>
      <c r="D594" t="str">
        <f>[1]FINAL!M594</f>
        <v/>
      </c>
    </row>
    <row r="595" spans="1:4" x14ac:dyDescent="0.3">
      <c r="A595">
        <f>[1]FINAL!A595</f>
        <v>0</v>
      </c>
      <c r="B595">
        <f>[1]FINAL!J595</f>
        <v>0</v>
      </c>
      <c r="C595">
        <f>[1]FINAL!K595</f>
        <v>0</v>
      </c>
      <c r="D595">
        <f>[1]FINAL!M595</f>
        <v>0</v>
      </c>
    </row>
    <row r="596" spans="1:4" x14ac:dyDescent="0.3">
      <c r="A596">
        <f>[1]FINAL!A596</f>
        <v>0</v>
      </c>
      <c r="B596">
        <f>[1]FINAL!J596</f>
        <v>0</v>
      </c>
      <c r="C596">
        <f>[1]FINAL!K596</f>
        <v>0</v>
      </c>
      <c r="D596">
        <f>[1]FINAL!M596</f>
        <v>0</v>
      </c>
    </row>
    <row r="597" spans="1:4" x14ac:dyDescent="0.3">
      <c r="A597">
        <f>[1]FINAL!A597</f>
        <v>0</v>
      </c>
      <c r="B597">
        <f>[1]FINAL!J597</f>
        <v>0</v>
      </c>
      <c r="C597">
        <f>[1]FINAL!K597</f>
        <v>0</v>
      </c>
      <c r="D597">
        <f>[1]FINAL!M597</f>
        <v>0</v>
      </c>
    </row>
    <row r="598" spans="1:4" x14ac:dyDescent="0.3">
      <c r="A598">
        <f>[1]FINAL!A598</f>
        <v>0</v>
      </c>
      <c r="B598">
        <f>[1]FINAL!J598</f>
        <v>0</v>
      </c>
      <c r="C598">
        <f>[1]FINAL!K598</f>
        <v>0</v>
      </c>
      <c r="D598">
        <f>[1]FINAL!M598</f>
        <v>0</v>
      </c>
    </row>
    <row r="599" spans="1:4" x14ac:dyDescent="0.3">
      <c r="A599">
        <f>[1]FINAL!A599</f>
        <v>0</v>
      </c>
      <c r="B599">
        <f>[1]FINAL!J599</f>
        <v>0</v>
      </c>
      <c r="C599">
        <f>[1]FINAL!K599</f>
        <v>0</v>
      </c>
      <c r="D599">
        <f>[1]FINAL!M599</f>
        <v>0</v>
      </c>
    </row>
    <row r="600" spans="1:4" x14ac:dyDescent="0.3">
      <c r="A600">
        <f>[1]FINAL!A600</f>
        <v>0</v>
      </c>
      <c r="B600">
        <f>[1]FINAL!J600</f>
        <v>0</v>
      </c>
      <c r="C600">
        <f>[1]FINAL!K600</f>
        <v>0</v>
      </c>
      <c r="D600">
        <f>[1]FINAL!M600</f>
        <v>0</v>
      </c>
    </row>
    <row r="601" spans="1:4" x14ac:dyDescent="0.3">
      <c r="A601">
        <f>[1]FINAL!A601</f>
        <v>0</v>
      </c>
      <c r="B601">
        <f>[1]FINAL!J601</f>
        <v>0</v>
      </c>
      <c r="C601">
        <f>[1]FINAL!K601</f>
        <v>0</v>
      </c>
      <c r="D601">
        <f>[1]FINAL!M601</f>
        <v>0</v>
      </c>
    </row>
    <row r="602" spans="1:4" x14ac:dyDescent="0.3">
      <c r="A602">
        <f>[1]FINAL!A602</f>
        <v>0</v>
      </c>
      <c r="B602">
        <f>[1]FINAL!J602</f>
        <v>0</v>
      </c>
      <c r="C602">
        <f>[1]FINAL!K602</f>
        <v>0</v>
      </c>
      <c r="D602">
        <f>[1]FINAL!M602</f>
        <v>0</v>
      </c>
    </row>
    <row r="603" spans="1:4" x14ac:dyDescent="0.3">
      <c r="A603">
        <f>[1]FINAL!A603</f>
        <v>0</v>
      </c>
      <c r="B603">
        <f>[1]FINAL!J603</f>
        <v>0</v>
      </c>
      <c r="C603">
        <f>[1]FINAL!K603</f>
        <v>0</v>
      </c>
      <c r="D603">
        <f>[1]FINAL!M603</f>
        <v>0</v>
      </c>
    </row>
    <row r="604" spans="1:4" x14ac:dyDescent="0.3">
      <c r="A604">
        <f>[1]FINAL!A604</f>
        <v>0</v>
      </c>
      <c r="B604">
        <f>[1]FINAL!J604</f>
        <v>0</v>
      </c>
      <c r="C604">
        <f>[1]FINAL!K604</f>
        <v>0</v>
      </c>
      <c r="D604">
        <f>[1]FINAL!M604</f>
        <v>0</v>
      </c>
    </row>
    <row r="605" spans="1:4" x14ac:dyDescent="0.3">
      <c r="A605">
        <f>[1]FINAL!A605</f>
        <v>0</v>
      </c>
      <c r="B605">
        <f>[1]FINAL!J605</f>
        <v>0</v>
      </c>
      <c r="C605">
        <f>[1]FINAL!K605</f>
        <v>0</v>
      </c>
      <c r="D605">
        <f>[1]FINAL!M605</f>
        <v>0</v>
      </c>
    </row>
    <row r="606" spans="1:4" x14ac:dyDescent="0.3">
      <c r="A606">
        <f>[1]FINAL!A606</f>
        <v>0</v>
      </c>
      <c r="B606">
        <f>[1]FINAL!J606</f>
        <v>0</v>
      </c>
      <c r="C606">
        <f>[1]FINAL!K606</f>
        <v>0</v>
      </c>
      <c r="D606">
        <f>[1]FINAL!M606</f>
        <v>0</v>
      </c>
    </row>
    <row r="607" spans="1:4" x14ac:dyDescent="0.3">
      <c r="A607">
        <f>[1]FINAL!A607</f>
        <v>0</v>
      </c>
      <c r="B607">
        <f>[1]FINAL!J607</f>
        <v>0</v>
      </c>
      <c r="C607">
        <f>[1]FINAL!K607</f>
        <v>0</v>
      </c>
      <c r="D607">
        <f>[1]FINAL!M607</f>
        <v>0</v>
      </c>
    </row>
    <row r="608" spans="1:4" x14ac:dyDescent="0.3">
      <c r="A608">
        <f>[1]FINAL!A608</f>
        <v>0</v>
      </c>
      <c r="B608">
        <f>[1]FINAL!J608</f>
        <v>0</v>
      </c>
      <c r="C608">
        <f>[1]FINAL!K608</f>
        <v>0</v>
      </c>
      <c r="D608">
        <f>[1]FINAL!M608</f>
        <v>0</v>
      </c>
    </row>
    <row r="609" spans="1:4" x14ac:dyDescent="0.3">
      <c r="A609">
        <f>[1]FINAL!A609</f>
        <v>0</v>
      </c>
      <c r="B609">
        <f>[1]FINAL!J609</f>
        <v>0</v>
      </c>
      <c r="C609">
        <f>[1]FINAL!K609</f>
        <v>0</v>
      </c>
      <c r="D609">
        <f>[1]FINAL!M609</f>
        <v>0</v>
      </c>
    </row>
    <row r="610" spans="1:4" x14ac:dyDescent="0.3">
      <c r="A610">
        <f>[1]FINAL!A610</f>
        <v>0</v>
      </c>
      <c r="B610">
        <f>[1]FINAL!J610</f>
        <v>0</v>
      </c>
      <c r="C610">
        <f>[1]FINAL!K610</f>
        <v>0</v>
      </c>
      <c r="D610">
        <f>[1]FINAL!M610</f>
        <v>0</v>
      </c>
    </row>
    <row r="611" spans="1:4" x14ac:dyDescent="0.3">
      <c r="A611">
        <f>[1]FINAL!A611</f>
        <v>0</v>
      </c>
      <c r="B611">
        <f>[1]FINAL!J611</f>
        <v>0</v>
      </c>
      <c r="C611">
        <f>[1]FINAL!K611</f>
        <v>0</v>
      </c>
      <c r="D611">
        <f>[1]FINAL!M611</f>
        <v>0</v>
      </c>
    </row>
    <row r="612" spans="1:4" x14ac:dyDescent="0.3">
      <c r="A612">
        <f>[1]FINAL!A612</f>
        <v>0</v>
      </c>
      <c r="B612">
        <f>[1]FINAL!J612</f>
        <v>0</v>
      </c>
      <c r="C612">
        <f>[1]FINAL!K612</f>
        <v>0</v>
      </c>
      <c r="D612">
        <f>[1]FINAL!M612</f>
        <v>0</v>
      </c>
    </row>
    <row r="613" spans="1:4" x14ac:dyDescent="0.3">
      <c r="A613">
        <f>[1]FINAL!A613</f>
        <v>0</v>
      </c>
      <c r="B613">
        <f>[1]FINAL!J613</f>
        <v>0</v>
      </c>
      <c r="C613">
        <f>[1]FINAL!K613</f>
        <v>0</v>
      </c>
      <c r="D613">
        <f>[1]FINAL!M613</f>
        <v>0</v>
      </c>
    </row>
    <row r="614" spans="1:4" x14ac:dyDescent="0.3">
      <c r="A614">
        <f>[1]FINAL!A614</f>
        <v>0</v>
      </c>
      <c r="B614">
        <f>[1]FINAL!J614</f>
        <v>0</v>
      </c>
      <c r="C614">
        <f>[1]FINAL!K614</f>
        <v>0</v>
      </c>
      <c r="D614">
        <f>[1]FINAL!M614</f>
        <v>0</v>
      </c>
    </row>
    <row r="615" spans="1:4" x14ac:dyDescent="0.3">
      <c r="A615">
        <f>[1]FINAL!A615</f>
        <v>0</v>
      </c>
      <c r="B615">
        <f>[1]FINAL!J615</f>
        <v>0</v>
      </c>
      <c r="C615">
        <f>[1]FINAL!K615</f>
        <v>0</v>
      </c>
      <c r="D615">
        <f>[1]FINAL!M615</f>
        <v>0</v>
      </c>
    </row>
    <row r="616" spans="1:4" x14ac:dyDescent="0.3">
      <c r="A616">
        <f>[1]FINAL!A616</f>
        <v>0</v>
      </c>
      <c r="B616">
        <f>[1]FINAL!J616</f>
        <v>0</v>
      </c>
      <c r="C616">
        <f>[1]FINAL!K616</f>
        <v>0</v>
      </c>
      <c r="D616">
        <f>[1]FINAL!M616</f>
        <v>0</v>
      </c>
    </row>
    <row r="617" spans="1:4" x14ac:dyDescent="0.3">
      <c r="A617">
        <f>[1]FINAL!A617</f>
        <v>0</v>
      </c>
      <c r="B617">
        <f>[1]FINAL!J617</f>
        <v>0</v>
      </c>
      <c r="C617">
        <f>[1]FINAL!K617</f>
        <v>0</v>
      </c>
      <c r="D617">
        <f>[1]FINAL!M617</f>
        <v>0</v>
      </c>
    </row>
    <row r="618" spans="1:4" x14ac:dyDescent="0.3">
      <c r="A618">
        <f>[1]FINAL!A618</f>
        <v>0</v>
      </c>
      <c r="B618">
        <f>[1]FINAL!J618</f>
        <v>0</v>
      </c>
      <c r="C618">
        <f>[1]FINAL!K618</f>
        <v>0</v>
      </c>
      <c r="D618">
        <f>[1]FINAL!M618</f>
        <v>0</v>
      </c>
    </row>
    <row r="619" spans="1:4" x14ac:dyDescent="0.3">
      <c r="A619">
        <f>[1]FINAL!A619</f>
        <v>0</v>
      </c>
      <c r="B619">
        <f>[1]FINAL!J619</f>
        <v>0</v>
      </c>
      <c r="C619">
        <f>[1]FINAL!K619</f>
        <v>0</v>
      </c>
      <c r="D619">
        <f>[1]FINAL!M619</f>
        <v>0</v>
      </c>
    </row>
    <row r="620" spans="1:4" x14ac:dyDescent="0.3">
      <c r="A620">
        <f>[1]FINAL!A620</f>
        <v>0</v>
      </c>
      <c r="B620">
        <f>[1]FINAL!J620</f>
        <v>0</v>
      </c>
      <c r="C620">
        <f>[1]FINAL!K620</f>
        <v>0</v>
      </c>
      <c r="D620">
        <f>[1]FINAL!M620</f>
        <v>0</v>
      </c>
    </row>
    <row r="621" spans="1:4" x14ac:dyDescent="0.3">
      <c r="A621">
        <f>[1]FINAL!A621</f>
        <v>0</v>
      </c>
      <c r="B621">
        <f>[1]FINAL!J621</f>
        <v>0</v>
      </c>
      <c r="C621">
        <f>[1]FINAL!K621</f>
        <v>0</v>
      </c>
      <c r="D621">
        <f>[1]FINAL!M621</f>
        <v>0</v>
      </c>
    </row>
    <row r="622" spans="1:4" x14ac:dyDescent="0.3">
      <c r="A622">
        <f>[1]FINAL!A622</f>
        <v>0</v>
      </c>
      <c r="B622">
        <f>[1]FINAL!J622</f>
        <v>0</v>
      </c>
      <c r="C622">
        <f>[1]FINAL!K622</f>
        <v>0</v>
      </c>
      <c r="D622">
        <f>[1]FINAL!M622</f>
        <v>0</v>
      </c>
    </row>
    <row r="623" spans="1:4" x14ac:dyDescent="0.3">
      <c r="A623">
        <f>[1]FINAL!A623</f>
        <v>0</v>
      </c>
      <c r="B623">
        <f>[1]FINAL!J623</f>
        <v>0</v>
      </c>
      <c r="C623">
        <f>[1]FINAL!K623</f>
        <v>0</v>
      </c>
      <c r="D623">
        <f>[1]FINAL!M623</f>
        <v>0</v>
      </c>
    </row>
    <row r="624" spans="1:4" x14ac:dyDescent="0.3">
      <c r="A624">
        <f>[1]FINAL!A624</f>
        <v>0</v>
      </c>
      <c r="B624">
        <f>[1]FINAL!J624</f>
        <v>0</v>
      </c>
      <c r="C624">
        <f>[1]FINAL!K624</f>
        <v>0</v>
      </c>
      <c r="D624">
        <f>[1]FINAL!M624</f>
        <v>0</v>
      </c>
    </row>
    <row r="625" spans="1:4" x14ac:dyDescent="0.3">
      <c r="A625">
        <f>[1]FINAL!A625</f>
        <v>0</v>
      </c>
      <c r="B625">
        <f>[1]FINAL!J625</f>
        <v>0</v>
      </c>
      <c r="C625">
        <f>[1]FINAL!K625</f>
        <v>0</v>
      </c>
      <c r="D625">
        <f>[1]FINAL!M625</f>
        <v>0</v>
      </c>
    </row>
    <row r="626" spans="1:4" x14ac:dyDescent="0.3">
      <c r="A626">
        <f>[1]FINAL!A626</f>
        <v>0</v>
      </c>
      <c r="B626">
        <f>[1]FINAL!J626</f>
        <v>0</v>
      </c>
      <c r="C626">
        <f>[1]FINAL!K626</f>
        <v>0</v>
      </c>
      <c r="D626">
        <f>[1]FINAL!M626</f>
        <v>0</v>
      </c>
    </row>
    <row r="627" spans="1:4" x14ac:dyDescent="0.3">
      <c r="A627">
        <f>[1]FINAL!A627</f>
        <v>0</v>
      </c>
      <c r="B627">
        <f>[1]FINAL!J627</f>
        <v>0</v>
      </c>
      <c r="C627">
        <f>[1]FINAL!K627</f>
        <v>0</v>
      </c>
      <c r="D627">
        <f>[1]FINAL!M627</f>
        <v>0</v>
      </c>
    </row>
    <row r="628" spans="1:4" x14ac:dyDescent="0.3">
      <c r="A628">
        <f>[1]FINAL!A628</f>
        <v>0</v>
      </c>
      <c r="B628">
        <f>[1]FINAL!J628</f>
        <v>0</v>
      </c>
      <c r="C628">
        <f>[1]FINAL!K628</f>
        <v>0</v>
      </c>
      <c r="D628">
        <f>[1]FINAL!M628</f>
        <v>0</v>
      </c>
    </row>
    <row r="629" spans="1:4" x14ac:dyDescent="0.3">
      <c r="A629">
        <f>[1]FINAL!A629</f>
        <v>0</v>
      </c>
      <c r="B629">
        <f>[1]FINAL!J629</f>
        <v>0</v>
      </c>
      <c r="C629">
        <f>[1]FINAL!K629</f>
        <v>0</v>
      </c>
      <c r="D629">
        <f>[1]FINAL!M629</f>
        <v>0</v>
      </c>
    </row>
    <row r="630" spans="1:4" x14ac:dyDescent="0.3">
      <c r="A630">
        <f>[1]FINAL!A630</f>
        <v>0</v>
      </c>
      <c r="B630">
        <f>[1]FINAL!J630</f>
        <v>0</v>
      </c>
      <c r="C630">
        <f>[1]FINAL!K630</f>
        <v>0</v>
      </c>
      <c r="D630">
        <f>[1]FINAL!M630</f>
        <v>0</v>
      </c>
    </row>
    <row r="631" spans="1:4" x14ac:dyDescent="0.3">
      <c r="A631">
        <f>[1]FINAL!A631</f>
        <v>0</v>
      </c>
      <c r="B631">
        <f>[1]FINAL!J631</f>
        <v>0</v>
      </c>
      <c r="C631">
        <f>[1]FINAL!K631</f>
        <v>0</v>
      </c>
      <c r="D631">
        <f>[1]FINAL!M631</f>
        <v>0</v>
      </c>
    </row>
    <row r="632" spans="1:4" x14ac:dyDescent="0.3">
      <c r="A632">
        <f>[1]FINAL!A632</f>
        <v>0</v>
      </c>
      <c r="B632">
        <f>[1]FINAL!J632</f>
        <v>0</v>
      </c>
      <c r="C632">
        <f>[1]FINAL!K632</f>
        <v>0</v>
      </c>
      <c r="D632">
        <f>[1]FINAL!M632</f>
        <v>0</v>
      </c>
    </row>
    <row r="633" spans="1:4" x14ac:dyDescent="0.3">
      <c r="A633">
        <f>[1]FINAL!A633</f>
        <v>0</v>
      </c>
      <c r="B633">
        <f>[1]FINAL!J633</f>
        <v>0</v>
      </c>
      <c r="C633">
        <f>[1]FINAL!K633</f>
        <v>0</v>
      </c>
      <c r="D633">
        <f>[1]FINAL!M633</f>
        <v>0</v>
      </c>
    </row>
    <row r="634" spans="1:4" x14ac:dyDescent="0.3">
      <c r="A634">
        <f>[1]FINAL!A634</f>
        <v>0</v>
      </c>
      <c r="B634">
        <f>[1]FINAL!J634</f>
        <v>0</v>
      </c>
      <c r="C634">
        <f>[1]FINAL!K634</f>
        <v>0</v>
      </c>
      <c r="D634">
        <f>[1]FINAL!M634</f>
        <v>0</v>
      </c>
    </row>
    <row r="635" spans="1:4" x14ac:dyDescent="0.3">
      <c r="A635">
        <f>[1]FINAL!A635</f>
        <v>0</v>
      </c>
      <c r="B635">
        <f>[1]FINAL!J635</f>
        <v>0</v>
      </c>
      <c r="C635">
        <f>[1]FINAL!K635</f>
        <v>0</v>
      </c>
      <c r="D635">
        <f>[1]FINAL!M635</f>
        <v>0</v>
      </c>
    </row>
    <row r="636" spans="1:4" x14ac:dyDescent="0.3">
      <c r="A636">
        <f>[1]FINAL!A636</f>
        <v>0</v>
      </c>
      <c r="B636">
        <f>[1]FINAL!J636</f>
        <v>0</v>
      </c>
      <c r="C636">
        <f>[1]FINAL!K636</f>
        <v>0</v>
      </c>
      <c r="D636">
        <f>[1]FINAL!M636</f>
        <v>0</v>
      </c>
    </row>
    <row r="637" spans="1:4" x14ac:dyDescent="0.3">
      <c r="A637">
        <f>[1]FINAL!A637</f>
        <v>0</v>
      </c>
      <c r="B637">
        <f>[1]FINAL!J637</f>
        <v>0</v>
      </c>
      <c r="C637">
        <f>[1]FINAL!K637</f>
        <v>0</v>
      </c>
      <c r="D637">
        <f>[1]FINAL!M637</f>
        <v>0</v>
      </c>
    </row>
    <row r="638" spans="1:4" x14ac:dyDescent="0.3">
      <c r="A638">
        <f>[1]FINAL!A638</f>
        <v>0</v>
      </c>
      <c r="B638">
        <f>[1]FINAL!J638</f>
        <v>0</v>
      </c>
      <c r="C638">
        <f>[1]FINAL!K638</f>
        <v>0</v>
      </c>
      <c r="D638">
        <f>[1]FINAL!M638</f>
        <v>0</v>
      </c>
    </row>
    <row r="639" spans="1:4" x14ac:dyDescent="0.3">
      <c r="A639">
        <f>[1]FINAL!A639</f>
        <v>0</v>
      </c>
      <c r="B639">
        <f>[1]FINAL!J639</f>
        <v>0</v>
      </c>
      <c r="C639">
        <f>[1]FINAL!K639</f>
        <v>0</v>
      </c>
      <c r="D639">
        <f>[1]FINAL!M639</f>
        <v>0</v>
      </c>
    </row>
    <row r="640" spans="1:4" x14ac:dyDescent="0.3">
      <c r="A640">
        <f>[1]FINAL!A640</f>
        <v>0</v>
      </c>
      <c r="B640">
        <f>[1]FINAL!J640</f>
        <v>0</v>
      </c>
      <c r="C640">
        <f>[1]FINAL!K640</f>
        <v>0</v>
      </c>
      <c r="D640">
        <f>[1]FINAL!M640</f>
        <v>0</v>
      </c>
    </row>
    <row r="641" spans="1:4" x14ac:dyDescent="0.3">
      <c r="A641">
        <f>[1]FINAL!A641</f>
        <v>0</v>
      </c>
      <c r="B641">
        <f>[1]FINAL!J641</f>
        <v>0</v>
      </c>
      <c r="C641">
        <f>[1]FINAL!K641</f>
        <v>0</v>
      </c>
      <c r="D641">
        <f>[1]FINAL!M641</f>
        <v>0</v>
      </c>
    </row>
    <row r="642" spans="1:4" x14ac:dyDescent="0.3">
      <c r="A642">
        <f>[1]FINAL!A642</f>
        <v>0</v>
      </c>
      <c r="B642">
        <f>[1]FINAL!J642</f>
        <v>0</v>
      </c>
      <c r="C642">
        <f>[1]FINAL!K642</f>
        <v>0</v>
      </c>
      <c r="D642">
        <f>[1]FINAL!M642</f>
        <v>0</v>
      </c>
    </row>
    <row r="643" spans="1:4" x14ac:dyDescent="0.3">
      <c r="A643">
        <f>[1]FINAL!A643</f>
        <v>0</v>
      </c>
      <c r="B643">
        <f>[1]FINAL!J643</f>
        <v>0</v>
      </c>
      <c r="C643">
        <f>[1]FINAL!K643</f>
        <v>0</v>
      </c>
      <c r="D643">
        <f>[1]FINAL!M643</f>
        <v>0</v>
      </c>
    </row>
    <row r="644" spans="1:4" x14ac:dyDescent="0.3">
      <c r="A644">
        <f>[1]FINAL!A644</f>
        <v>0</v>
      </c>
      <c r="B644">
        <f>[1]FINAL!J644</f>
        <v>0</v>
      </c>
      <c r="C644">
        <f>[1]FINAL!K644</f>
        <v>0</v>
      </c>
      <c r="D644">
        <f>[1]FINAL!M644</f>
        <v>0</v>
      </c>
    </row>
    <row r="645" spans="1:4" x14ac:dyDescent="0.3">
      <c r="A645">
        <f>[1]FINAL!A645</f>
        <v>0</v>
      </c>
      <c r="B645">
        <f>[1]FINAL!J645</f>
        <v>0</v>
      </c>
      <c r="C645">
        <f>[1]FINAL!K645</f>
        <v>0</v>
      </c>
      <c r="D645">
        <f>[1]FINAL!M645</f>
        <v>0</v>
      </c>
    </row>
    <row r="646" spans="1:4" x14ac:dyDescent="0.3">
      <c r="A646">
        <f>[1]FINAL!A646</f>
        <v>0</v>
      </c>
      <c r="B646">
        <f>[1]FINAL!J646</f>
        <v>0</v>
      </c>
      <c r="C646">
        <f>[1]FINAL!K646</f>
        <v>0</v>
      </c>
      <c r="D646">
        <f>[1]FINAL!M646</f>
        <v>0</v>
      </c>
    </row>
    <row r="647" spans="1:4" x14ac:dyDescent="0.3">
      <c r="A647">
        <f>[1]FINAL!A647</f>
        <v>0</v>
      </c>
      <c r="B647">
        <f>[1]FINAL!J647</f>
        <v>0</v>
      </c>
      <c r="C647">
        <f>[1]FINAL!K647</f>
        <v>0</v>
      </c>
      <c r="D647">
        <f>[1]FINAL!M647</f>
        <v>0</v>
      </c>
    </row>
    <row r="648" spans="1:4" x14ac:dyDescent="0.3">
      <c r="A648">
        <f>[1]FINAL!A648</f>
        <v>0</v>
      </c>
      <c r="B648">
        <f>[1]FINAL!J648</f>
        <v>0</v>
      </c>
      <c r="C648">
        <f>[1]FINAL!K648</f>
        <v>0</v>
      </c>
      <c r="D648">
        <f>[1]FINAL!M648</f>
        <v>0</v>
      </c>
    </row>
    <row r="649" spans="1:4" x14ac:dyDescent="0.3">
      <c r="A649">
        <f>[1]FINAL!A649</f>
        <v>0</v>
      </c>
      <c r="B649">
        <f>[1]FINAL!J649</f>
        <v>0</v>
      </c>
      <c r="C649">
        <f>[1]FINAL!K649</f>
        <v>0</v>
      </c>
      <c r="D649">
        <f>[1]FINAL!M649</f>
        <v>0</v>
      </c>
    </row>
    <row r="650" spans="1:4" x14ac:dyDescent="0.3">
      <c r="A650">
        <f>[1]FINAL!A650</f>
        <v>0</v>
      </c>
      <c r="B650">
        <f>[1]FINAL!J650</f>
        <v>0</v>
      </c>
      <c r="C650">
        <f>[1]FINAL!K650</f>
        <v>0</v>
      </c>
      <c r="D650">
        <f>[1]FINAL!M650</f>
        <v>0</v>
      </c>
    </row>
    <row r="651" spans="1:4" x14ac:dyDescent="0.3">
      <c r="A651">
        <f>[1]FINAL!A651</f>
        <v>0</v>
      </c>
      <c r="B651">
        <f>[1]FINAL!J651</f>
        <v>0</v>
      </c>
      <c r="C651">
        <f>[1]FINAL!K651</f>
        <v>0</v>
      </c>
      <c r="D651">
        <f>[1]FINAL!M651</f>
        <v>0</v>
      </c>
    </row>
    <row r="652" spans="1:4" x14ac:dyDescent="0.3">
      <c r="A652">
        <f>[1]FINAL!A652</f>
        <v>0</v>
      </c>
      <c r="B652">
        <f>[1]FINAL!J652</f>
        <v>0</v>
      </c>
      <c r="C652">
        <f>[1]FINAL!K652</f>
        <v>0</v>
      </c>
      <c r="D652">
        <f>[1]FINAL!M652</f>
        <v>0</v>
      </c>
    </row>
    <row r="653" spans="1:4" x14ac:dyDescent="0.3">
      <c r="A653">
        <f>[1]FINAL!A653</f>
        <v>0</v>
      </c>
      <c r="B653">
        <f>[1]FINAL!J653</f>
        <v>0</v>
      </c>
      <c r="C653">
        <f>[1]FINAL!K653</f>
        <v>0</v>
      </c>
      <c r="D653">
        <f>[1]FINAL!M653</f>
        <v>0</v>
      </c>
    </row>
    <row r="654" spans="1:4" x14ac:dyDescent="0.3">
      <c r="A654">
        <f>[1]FINAL!A654</f>
        <v>0</v>
      </c>
      <c r="B654">
        <f>[1]FINAL!J654</f>
        <v>0</v>
      </c>
      <c r="C654">
        <f>[1]FINAL!K654</f>
        <v>0</v>
      </c>
      <c r="D654">
        <f>[1]FINAL!M654</f>
        <v>0</v>
      </c>
    </row>
    <row r="655" spans="1:4" x14ac:dyDescent="0.3">
      <c r="A655">
        <f>[1]FINAL!A655</f>
        <v>0</v>
      </c>
      <c r="B655">
        <f>[1]FINAL!J655</f>
        <v>0</v>
      </c>
      <c r="C655">
        <f>[1]FINAL!K655</f>
        <v>0</v>
      </c>
      <c r="D655">
        <f>[1]FINAL!M655</f>
        <v>0</v>
      </c>
    </row>
    <row r="656" spans="1:4" x14ac:dyDescent="0.3">
      <c r="A656">
        <f>[1]FINAL!A656</f>
        <v>0</v>
      </c>
      <c r="B656">
        <f>[1]FINAL!J656</f>
        <v>0</v>
      </c>
      <c r="C656">
        <f>[1]FINAL!K656</f>
        <v>0</v>
      </c>
      <c r="D656">
        <f>[1]FINAL!M656</f>
        <v>0</v>
      </c>
    </row>
    <row r="657" spans="1:4" x14ac:dyDescent="0.3">
      <c r="A657">
        <f>[1]FINAL!A657</f>
        <v>0</v>
      </c>
      <c r="B657">
        <f>[1]FINAL!J657</f>
        <v>0</v>
      </c>
      <c r="C657">
        <f>[1]FINAL!K657</f>
        <v>0</v>
      </c>
      <c r="D657">
        <f>[1]FINAL!M657</f>
        <v>0</v>
      </c>
    </row>
    <row r="658" spans="1:4" x14ac:dyDescent="0.3">
      <c r="A658">
        <f>[1]FINAL!A658</f>
        <v>0</v>
      </c>
      <c r="B658">
        <f>[1]FINAL!J658</f>
        <v>0</v>
      </c>
      <c r="C658">
        <f>[1]FINAL!K658</f>
        <v>0</v>
      </c>
      <c r="D658">
        <f>[1]FINAL!M658</f>
        <v>0</v>
      </c>
    </row>
    <row r="659" spans="1:4" x14ac:dyDescent="0.3">
      <c r="A659">
        <f>[1]FINAL!A659</f>
        <v>0</v>
      </c>
      <c r="B659">
        <f>[1]FINAL!J659</f>
        <v>0</v>
      </c>
      <c r="C659">
        <f>[1]FINAL!K659</f>
        <v>0</v>
      </c>
      <c r="D659">
        <f>[1]FINAL!M659</f>
        <v>0</v>
      </c>
    </row>
    <row r="660" spans="1:4" x14ac:dyDescent="0.3">
      <c r="A660">
        <f>[1]FINAL!A660</f>
        <v>0</v>
      </c>
      <c r="B660">
        <f>[1]FINAL!J660</f>
        <v>0</v>
      </c>
      <c r="C660">
        <f>[1]FINAL!K660</f>
        <v>0</v>
      </c>
      <c r="D660">
        <f>[1]FINAL!M660</f>
        <v>0</v>
      </c>
    </row>
    <row r="661" spans="1:4" x14ac:dyDescent="0.3">
      <c r="A661">
        <f>[1]FINAL!A661</f>
        <v>0</v>
      </c>
      <c r="B661">
        <f>[1]FINAL!J661</f>
        <v>0</v>
      </c>
      <c r="C661">
        <f>[1]FINAL!K661</f>
        <v>0</v>
      </c>
      <c r="D661">
        <f>[1]FINAL!M661</f>
        <v>0</v>
      </c>
    </row>
    <row r="662" spans="1:4" x14ac:dyDescent="0.3">
      <c r="A662">
        <f>[1]FINAL!A662</f>
        <v>0</v>
      </c>
      <c r="B662">
        <f>[1]FINAL!J662</f>
        <v>0</v>
      </c>
      <c r="C662">
        <f>[1]FINAL!K662</f>
        <v>0</v>
      </c>
      <c r="D662">
        <f>[1]FINAL!M662</f>
        <v>0</v>
      </c>
    </row>
    <row r="663" spans="1:4" x14ac:dyDescent="0.3">
      <c r="A663">
        <f>[1]FINAL!A663</f>
        <v>0</v>
      </c>
      <c r="B663">
        <f>[1]FINAL!J663</f>
        <v>0</v>
      </c>
      <c r="C663">
        <f>[1]FINAL!K663</f>
        <v>0</v>
      </c>
      <c r="D663">
        <f>[1]FINAL!M663</f>
        <v>0</v>
      </c>
    </row>
    <row r="664" spans="1:4" x14ac:dyDescent="0.3">
      <c r="A664">
        <f>[1]FINAL!A664</f>
        <v>0</v>
      </c>
      <c r="B664">
        <f>[1]FINAL!J664</f>
        <v>0</v>
      </c>
      <c r="C664">
        <f>[1]FINAL!K664</f>
        <v>0</v>
      </c>
      <c r="D664">
        <f>[1]FINAL!M664</f>
        <v>0</v>
      </c>
    </row>
    <row r="665" spans="1:4" x14ac:dyDescent="0.3">
      <c r="A665">
        <f>[1]FINAL!A665</f>
        <v>0</v>
      </c>
      <c r="B665">
        <f>[1]FINAL!J665</f>
        <v>0</v>
      </c>
      <c r="C665">
        <f>[1]FINAL!K665</f>
        <v>0</v>
      </c>
      <c r="D665">
        <f>[1]FINAL!M665</f>
        <v>0</v>
      </c>
    </row>
    <row r="666" spans="1:4" x14ac:dyDescent="0.3">
      <c r="A666">
        <f>[1]FINAL!A666</f>
        <v>0</v>
      </c>
      <c r="B666">
        <f>[1]FINAL!J666</f>
        <v>0</v>
      </c>
      <c r="C666">
        <f>[1]FINAL!K666</f>
        <v>0</v>
      </c>
      <c r="D666">
        <f>[1]FINAL!M666</f>
        <v>0</v>
      </c>
    </row>
    <row r="667" spans="1:4" x14ac:dyDescent="0.3">
      <c r="A667">
        <f>[1]FINAL!A667</f>
        <v>0</v>
      </c>
      <c r="B667">
        <f>[1]FINAL!J667</f>
        <v>0</v>
      </c>
      <c r="C667">
        <f>[1]FINAL!K667</f>
        <v>0</v>
      </c>
      <c r="D667">
        <f>[1]FINAL!M667</f>
        <v>0</v>
      </c>
    </row>
    <row r="668" spans="1:4" x14ac:dyDescent="0.3">
      <c r="A668">
        <f>[1]FINAL!A668</f>
        <v>0</v>
      </c>
      <c r="B668">
        <f>[1]FINAL!J668</f>
        <v>0</v>
      </c>
      <c r="C668">
        <f>[1]FINAL!K668</f>
        <v>0</v>
      </c>
      <c r="D668">
        <f>[1]FINAL!M668</f>
        <v>0</v>
      </c>
    </row>
    <row r="669" spans="1:4" x14ac:dyDescent="0.3">
      <c r="A669">
        <f>[1]FINAL!A669</f>
        <v>0</v>
      </c>
      <c r="B669">
        <f>[1]FINAL!J669</f>
        <v>0</v>
      </c>
      <c r="C669">
        <f>[1]FINAL!K669</f>
        <v>0</v>
      </c>
      <c r="D669">
        <f>[1]FINAL!M669</f>
        <v>0</v>
      </c>
    </row>
    <row r="670" spans="1:4" x14ac:dyDescent="0.3">
      <c r="A670">
        <f>[1]FINAL!A670</f>
        <v>0</v>
      </c>
      <c r="B670">
        <f>[1]FINAL!J670</f>
        <v>0</v>
      </c>
      <c r="C670">
        <f>[1]FINAL!K670</f>
        <v>0</v>
      </c>
      <c r="D670">
        <f>[1]FINAL!M670</f>
        <v>0</v>
      </c>
    </row>
    <row r="671" spans="1:4" x14ac:dyDescent="0.3">
      <c r="A671">
        <f>[1]FINAL!A671</f>
        <v>0</v>
      </c>
      <c r="B671">
        <f>[1]FINAL!J671</f>
        <v>0</v>
      </c>
      <c r="C671">
        <f>[1]FINAL!K671</f>
        <v>0</v>
      </c>
      <c r="D671">
        <f>[1]FINAL!M671</f>
        <v>0</v>
      </c>
    </row>
    <row r="672" spans="1:4" x14ac:dyDescent="0.3">
      <c r="A672">
        <f>[1]FINAL!A672</f>
        <v>0</v>
      </c>
      <c r="B672">
        <f>[1]FINAL!J672</f>
        <v>0</v>
      </c>
      <c r="C672">
        <f>[1]FINAL!K672</f>
        <v>0</v>
      </c>
      <c r="D672">
        <f>[1]FINAL!M672</f>
        <v>0</v>
      </c>
    </row>
    <row r="673" spans="1:4" x14ac:dyDescent="0.3">
      <c r="A673">
        <f>[1]FINAL!A673</f>
        <v>0</v>
      </c>
      <c r="B673">
        <f>[1]FINAL!J673</f>
        <v>0</v>
      </c>
      <c r="C673">
        <f>[1]FINAL!K673</f>
        <v>0</v>
      </c>
      <c r="D673">
        <f>[1]FINAL!M673</f>
        <v>0</v>
      </c>
    </row>
    <row r="674" spans="1:4" x14ac:dyDescent="0.3">
      <c r="A674">
        <f>[1]FINAL!A674</f>
        <v>0</v>
      </c>
      <c r="B674">
        <f>[1]FINAL!J674</f>
        <v>0</v>
      </c>
      <c r="C674">
        <f>[1]FINAL!K674</f>
        <v>0</v>
      </c>
      <c r="D674">
        <f>[1]FINAL!M674</f>
        <v>0</v>
      </c>
    </row>
    <row r="675" spans="1:4" x14ac:dyDescent="0.3">
      <c r="A675">
        <f>[1]FINAL!A675</f>
        <v>0</v>
      </c>
      <c r="B675">
        <f>[1]FINAL!J675</f>
        <v>0</v>
      </c>
      <c r="C675">
        <f>[1]FINAL!K675</f>
        <v>0</v>
      </c>
      <c r="D675">
        <f>[1]FINAL!M675</f>
        <v>0</v>
      </c>
    </row>
    <row r="676" spans="1:4" x14ac:dyDescent="0.3">
      <c r="A676">
        <f>[1]FINAL!A676</f>
        <v>0</v>
      </c>
      <c r="B676">
        <f>[1]FINAL!J676</f>
        <v>0</v>
      </c>
      <c r="C676">
        <f>[1]FINAL!K676</f>
        <v>0</v>
      </c>
      <c r="D676">
        <f>[1]FINAL!M676</f>
        <v>0</v>
      </c>
    </row>
    <row r="677" spans="1:4" x14ac:dyDescent="0.3">
      <c r="A677">
        <f>[1]FINAL!A677</f>
        <v>0</v>
      </c>
      <c r="B677">
        <f>[1]FINAL!J677</f>
        <v>0</v>
      </c>
      <c r="C677">
        <f>[1]FINAL!K677</f>
        <v>0</v>
      </c>
      <c r="D677">
        <f>[1]FINAL!M677</f>
        <v>0</v>
      </c>
    </row>
    <row r="678" spans="1:4" x14ac:dyDescent="0.3">
      <c r="A678">
        <f>[1]FINAL!A678</f>
        <v>0</v>
      </c>
      <c r="B678">
        <f>[1]FINAL!J678</f>
        <v>0</v>
      </c>
      <c r="C678">
        <f>[1]FINAL!K678</f>
        <v>0</v>
      </c>
      <c r="D678">
        <f>[1]FINAL!M678</f>
        <v>0</v>
      </c>
    </row>
    <row r="679" spans="1:4" x14ac:dyDescent="0.3">
      <c r="A679">
        <f>[1]FINAL!A679</f>
        <v>0</v>
      </c>
      <c r="B679">
        <f>[1]FINAL!J679</f>
        <v>0</v>
      </c>
      <c r="C679">
        <f>[1]FINAL!K679</f>
        <v>0</v>
      </c>
      <c r="D679">
        <f>[1]FINAL!M679</f>
        <v>0</v>
      </c>
    </row>
    <row r="680" spans="1:4" x14ac:dyDescent="0.3">
      <c r="A680">
        <f>[1]FINAL!A680</f>
        <v>0</v>
      </c>
      <c r="B680">
        <f>[1]FINAL!J680</f>
        <v>0</v>
      </c>
      <c r="C680">
        <f>[1]FINAL!K680</f>
        <v>0</v>
      </c>
      <c r="D680">
        <f>[1]FINAL!M680</f>
        <v>0</v>
      </c>
    </row>
    <row r="681" spans="1:4" x14ac:dyDescent="0.3">
      <c r="A681">
        <f>[1]FINAL!A681</f>
        <v>0</v>
      </c>
      <c r="B681">
        <f>[1]FINAL!J681</f>
        <v>0</v>
      </c>
      <c r="C681">
        <f>[1]FINAL!K681</f>
        <v>0</v>
      </c>
      <c r="D681">
        <f>[1]FINAL!M681</f>
        <v>0</v>
      </c>
    </row>
    <row r="682" spans="1:4" x14ac:dyDescent="0.3">
      <c r="A682">
        <f>[1]FINAL!A682</f>
        <v>0</v>
      </c>
      <c r="B682">
        <f>[1]FINAL!J682</f>
        <v>0</v>
      </c>
      <c r="C682">
        <f>[1]FINAL!K682</f>
        <v>0</v>
      </c>
      <c r="D682">
        <f>[1]FINAL!M682</f>
        <v>0</v>
      </c>
    </row>
    <row r="683" spans="1:4" x14ac:dyDescent="0.3">
      <c r="A683">
        <f>[1]FINAL!A683</f>
        <v>0</v>
      </c>
      <c r="B683">
        <f>[1]FINAL!J683</f>
        <v>0</v>
      </c>
      <c r="C683">
        <f>[1]FINAL!K683</f>
        <v>0</v>
      </c>
      <c r="D683">
        <f>[1]FINAL!M683</f>
        <v>0</v>
      </c>
    </row>
    <row r="684" spans="1:4" x14ac:dyDescent="0.3">
      <c r="A684">
        <f>[1]FINAL!A684</f>
        <v>0</v>
      </c>
      <c r="B684">
        <f>[1]FINAL!J684</f>
        <v>0</v>
      </c>
      <c r="C684">
        <f>[1]FINAL!K684</f>
        <v>0</v>
      </c>
      <c r="D684">
        <f>[1]FINAL!M684</f>
        <v>0</v>
      </c>
    </row>
    <row r="685" spans="1:4" x14ac:dyDescent="0.3">
      <c r="A685">
        <f>[1]FINAL!A685</f>
        <v>0</v>
      </c>
      <c r="B685">
        <f>[1]FINAL!J685</f>
        <v>0</v>
      </c>
      <c r="C685">
        <f>[1]FINAL!K685</f>
        <v>0</v>
      </c>
      <c r="D685">
        <f>[1]FINAL!M685</f>
        <v>0</v>
      </c>
    </row>
    <row r="686" spans="1:4" x14ac:dyDescent="0.3">
      <c r="A686">
        <f>[1]FINAL!A686</f>
        <v>0</v>
      </c>
      <c r="B686">
        <f>[1]FINAL!J686</f>
        <v>0</v>
      </c>
      <c r="C686">
        <f>[1]FINAL!K686</f>
        <v>0</v>
      </c>
      <c r="D686">
        <f>[1]FINAL!M686</f>
        <v>0</v>
      </c>
    </row>
    <row r="687" spans="1:4" x14ac:dyDescent="0.3">
      <c r="A687">
        <f>[1]FINAL!A687</f>
        <v>0</v>
      </c>
      <c r="B687">
        <f>[1]FINAL!J687</f>
        <v>0</v>
      </c>
      <c r="C687">
        <f>[1]FINAL!K687</f>
        <v>0</v>
      </c>
      <c r="D687">
        <f>[1]FINAL!M687</f>
        <v>0</v>
      </c>
    </row>
    <row r="688" spans="1:4" x14ac:dyDescent="0.3">
      <c r="A688">
        <f>[1]FINAL!A688</f>
        <v>0</v>
      </c>
      <c r="B688">
        <f>[1]FINAL!J688</f>
        <v>0</v>
      </c>
      <c r="C688">
        <f>[1]FINAL!K688</f>
        <v>0</v>
      </c>
      <c r="D688">
        <f>[1]FINAL!M688</f>
        <v>0</v>
      </c>
    </row>
    <row r="689" spans="1:4" x14ac:dyDescent="0.3">
      <c r="A689">
        <f>[1]FINAL!A689</f>
        <v>0</v>
      </c>
      <c r="B689">
        <f>[1]FINAL!J689</f>
        <v>0</v>
      </c>
      <c r="C689">
        <f>[1]FINAL!K689</f>
        <v>0</v>
      </c>
      <c r="D689">
        <f>[1]FINAL!M689</f>
        <v>0</v>
      </c>
    </row>
    <row r="690" spans="1:4" x14ac:dyDescent="0.3">
      <c r="A690">
        <f>[1]FINAL!A690</f>
        <v>0</v>
      </c>
      <c r="B690">
        <f>[1]FINAL!J690</f>
        <v>0</v>
      </c>
      <c r="C690">
        <f>[1]FINAL!K690</f>
        <v>0</v>
      </c>
      <c r="D690">
        <f>[1]FINAL!M690</f>
        <v>0</v>
      </c>
    </row>
    <row r="691" spans="1:4" x14ac:dyDescent="0.3">
      <c r="A691">
        <f>[1]FINAL!A691</f>
        <v>0</v>
      </c>
      <c r="B691">
        <f>[1]FINAL!J691</f>
        <v>0</v>
      </c>
      <c r="C691">
        <f>[1]FINAL!K691</f>
        <v>0</v>
      </c>
      <c r="D691">
        <f>[1]FINAL!M691</f>
        <v>0</v>
      </c>
    </row>
    <row r="692" spans="1:4" x14ac:dyDescent="0.3">
      <c r="A692">
        <f>[1]FINAL!A692</f>
        <v>0</v>
      </c>
      <c r="B692">
        <f>[1]FINAL!J692</f>
        <v>0</v>
      </c>
      <c r="C692">
        <f>[1]FINAL!K692</f>
        <v>0</v>
      </c>
      <c r="D692">
        <f>[1]FINAL!M692</f>
        <v>0</v>
      </c>
    </row>
    <row r="693" spans="1:4" x14ac:dyDescent="0.3">
      <c r="A693">
        <f>[1]FINAL!A693</f>
        <v>0</v>
      </c>
      <c r="B693">
        <f>[1]FINAL!J693</f>
        <v>0</v>
      </c>
      <c r="C693">
        <f>[1]FINAL!K693</f>
        <v>0</v>
      </c>
      <c r="D693">
        <f>[1]FINAL!M693</f>
        <v>0</v>
      </c>
    </row>
    <row r="694" spans="1:4" x14ac:dyDescent="0.3">
      <c r="A694">
        <f>[1]FINAL!A694</f>
        <v>0</v>
      </c>
      <c r="B694">
        <f>[1]FINAL!J694</f>
        <v>0</v>
      </c>
      <c r="C694">
        <f>[1]FINAL!K694</f>
        <v>0</v>
      </c>
      <c r="D694">
        <f>[1]FINAL!M694</f>
        <v>0</v>
      </c>
    </row>
    <row r="695" spans="1:4" x14ac:dyDescent="0.3">
      <c r="A695">
        <f>[1]FINAL!A695</f>
        <v>0</v>
      </c>
      <c r="B695">
        <f>[1]FINAL!J695</f>
        <v>0</v>
      </c>
      <c r="C695">
        <f>[1]FINAL!K695</f>
        <v>0</v>
      </c>
      <c r="D695">
        <f>[1]FINAL!M695</f>
        <v>0</v>
      </c>
    </row>
    <row r="696" spans="1:4" x14ac:dyDescent="0.3">
      <c r="A696">
        <f>[1]FINAL!A696</f>
        <v>0</v>
      </c>
      <c r="B696">
        <f>[1]FINAL!J696</f>
        <v>0</v>
      </c>
      <c r="C696">
        <f>[1]FINAL!K696</f>
        <v>0</v>
      </c>
      <c r="D696">
        <f>[1]FINAL!M696</f>
        <v>0</v>
      </c>
    </row>
    <row r="697" spans="1:4" x14ac:dyDescent="0.3">
      <c r="A697">
        <f>[1]FINAL!A697</f>
        <v>0</v>
      </c>
      <c r="B697">
        <f>[1]FINAL!J697</f>
        <v>0</v>
      </c>
      <c r="C697">
        <f>[1]FINAL!K697</f>
        <v>0</v>
      </c>
      <c r="D697">
        <f>[1]FINAL!M697</f>
        <v>0</v>
      </c>
    </row>
    <row r="698" spans="1:4" x14ac:dyDescent="0.3">
      <c r="A698">
        <f>[1]FINAL!A698</f>
        <v>0</v>
      </c>
      <c r="B698">
        <f>[1]FINAL!J698</f>
        <v>0</v>
      </c>
      <c r="C698">
        <f>[1]FINAL!K698</f>
        <v>0</v>
      </c>
      <c r="D698">
        <f>[1]FINAL!M698</f>
        <v>0</v>
      </c>
    </row>
    <row r="699" spans="1:4" x14ac:dyDescent="0.3">
      <c r="A699">
        <f>[1]FINAL!A699</f>
        <v>0</v>
      </c>
      <c r="B699">
        <f>[1]FINAL!J699</f>
        <v>0</v>
      </c>
      <c r="C699">
        <f>[1]FINAL!K699</f>
        <v>0</v>
      </c>
      <c r="D699">
        <f>[1]FINAL!M699</f>
        <v>0</v>
      </c>
    </row>
    <row r="700" spans="1:4" x14ac:dyDescent="0.3">
      <c r="A700">
        <f>[1]FINAL!A700</f>
        <v>0</v>
      </c>
      <c r="B700">
        <f>[1]FINAL!J700</f>
        <v>0</v>
      </c>
      <c r="C700">
        <f>[1]FINAL!K700</f>
        <v>0</v>
      </c>
      <c r="D700">
        <f>[1]FINAL!M700</f>
        <v>0</v>
      </c>
    </row>
    <row r="701" spans="1:4" x14ac:dyDescent="0.3">
      <c r="A701">
        <f>[1]FINAL!A701</f>
        <v>0</v>
      </c>
      <c r="B701">
        <f>[1]FINAL!J701</f>
        <v>0</v>
      </c>
      <c r="C701">
        <f>[1]FINAL!K701</f>
        <v>0</v>
      </c>
      <c r="D701">
        <f>[1]FINAL!M701</f>
        <v>0</v>
      </c>
    </row>
    <row r="702" spans="1:4" x14ac:dyDescent="0.3">
      <c r="A702">
        <f>[1]FINAL!A702</f>
        <v>0</v>
      </c>
      <c r="B702">
        <f>[1]FINAL!J702</f>
        <v>0</v>
      </c>
      <c r="C702">
        <f>[1]FINAL!K702</f>
        <v>0</v>
      </c>
      <c r="D702">
        <f>[1]FINAL!M702</f>
        <v>0</v>
      </c>
    </row>
    <row r="703" spans="1:4" x14ac:dyDescent="0.3">
      <c r="A703">
        <f>[1]FINAL!A703</f>
        <v>0</v>
      </c>
      <c r="B703">
        <f>[1]FINAL!J703</f>
        <v>0</v>
      </c>
      <c r="C703">
        <f>[1]FINAL!K703</f>
        <v>0</v>
      </c>
      <c r="D703">
        <f>[1]FINAL!M703</f>
        <v>0</v>
      </c>
    </row>
    <row r="704" spans="1:4" x14ac:dyDescent="0.3">
      <c r="A704">
        <f>[1]FINAL!A704</f>
        <v>0</v>
      </c>
      <c r="B704">
        <f>[1]FINAL!J704</f>
        <v>0</v>
      </c>
      <c r="C704">
        <f>[1]FINAL!K704</f>
        <v>0</v>
      </c>
      <c r="D704">
        <f>[1]FINAL!M704</f>
        <v>0</v>
      </c>
    </row>
    <row r="705" spans="1:4" x14ac:dyDescent="0.3">
      <c r="A705">
        <f>[1]FINAL!A705</f>
        <v>0</v>
      </c>
      <c r="B705">
        <f>[1]FINAL!J705</f>
        <v>0</v>
      </c>
      <c r="C705">
        <f>[1]FINAL!K705</f>
        <v>0</v>
      </c>
      <c r="D705">
        <f>[1]FINAL!M705</f>
        <v>0</v>
      </c>
    </row>
    <row r="706" spans="1:4" x14ac:dyDescent="0.3">
      <c r="A706">
        <f>[1]FINAL!A706</f>
        <v>0</v>
      </c>
      <c r="B706">
        <f>[1]FINAL!J706</f>
        <v>0</v>
      </c>
      <c r="C706">
        <f>[1]FINAL!K706</f>
        <v>0</v>
      </c>
      <c r="D706">
        <f>[1]FINAL!M706</f>
        <v>0</v>
      </c>
    </row>
    <row r="707" spans="1:4" x14ac:dyDescent="0.3">
      <c r="A707">
        <f>[1]FINAL!A707</f>
        <v>0</v>
      </c>
      <c r="B707">
        <f>[1]FINAL!J707</f>
        <v>0</v>
      </c>
      <c r="C707">
        <f>[1]FINAL!K707</f>
        <v>0</v>
      </c>
      <c r="D707">
        <f>[1]FINAL!M707</f>
        <v>0</v>
      </c>
    </row>
    <row r="708" spans="1:4" x14ac:dyDescent="0.3">
      <c r="A708">
        <f>[1]FINAL!A708</f>
        <v>0</v>
      </c>
      <c r="B708">
        <f>[1]FINAL!J708</f>
        <v>0</v>
      </c>
      <c r="C708">
        <f>[1]FINAL!K708</f>
        <v>0</v>
      </c>
      <c r="D708">
        <f>[1]FINAL!M708</f>
        <v>0</v>
      </c>
    </row>
    <row r="709" spans="1:4" x14ac:dyDescent="0.3">
      <c r="A709">
        <f>[1]FINAL!A709</f>
        <v>0</v>
      </c>
      <c r="B709">
        <f>[1]FINAL!J709</f>
        <v>0</v>
      </c>
      <c r="C709">
        <f>[1]FINAL!K709</f>
        <v>0</v>
      </c>
      <c r="D709">
        <f>[1]FINAL!M709</f>
        <v>0</v>
      </c>
    </row>
    <row r="710" spans="1:4" x14ac:dyDescent="0.3">
      <c r="A710">
        <f>[1]FINAL!A710</f>
        <v>0</v>
      </c>
      <c r="B710">
        <f>[1]FINAL!J710</f>
        <v>0</v>
      </c>
      <c r="C710">
        <f>[1]FINAL!K710</f>
        <v>0</v>
      </c>
      <c r="D710">
        <f>[1]FINAL!M710</f>
        <v>0</v>
      </c>
    </row>
    <row r="711" spans="1:4" x14ac:dyDescent="0.3">
      <c r="A711">
        <f>[1]FINAL!A711</f>
        <v>0</v>
      </c>
      <c r="B711">
        <f>[1]FINAL!J711</f>
        <v>0</v>
      </c>
      <c r="C711">
        <f>[1]FINAL!K711</f>
        <v>0</v>
      </c>
      <c r="D711">
        <f>[1]FINAL!M711</f>
        <v>0</v>
      </c>
    </row>
    <row r="712" spans="1:4" x14ac:dyDescent="0.3">
      <c r="A712">
        <f>[1]FINAL!A712</f>
        <v>0</v>
      </c>
      <c r="B712">
        <f>[1]FINAL!J712</f>
        <v>0</v>
      </c>
      <c r="C712">
        <f>[1]FINAL!K712</f>
        <v>0</v>
      </c>
      <c r="D712">
        <f>[1]FINAL!M712</f>
        <v>0</v>
      </c>
    </row>
    <row r="713" spans="1:4" x14ac:dyDescent="0.3">
      <c r="A713">
        <f>[1]FINAL!A713</f>
        <v>0</v>
      </c>
      <c r="B713">
        <f>[1]FINAL!J713</f>
        <v>0</v>
      </c>
      <c r="C713">
        <f>[1]FINAL!K713</f>
        <v>0</v>
      </c>
      <c r="D713">
        <f>[1]FINAL!M713</f>
        <v>0</v>
      </c>
    </row>
    <row r="714" spans="1:4" x14ac:dyDescent="0.3">
      <c r="A714">
        <f>[1]FINAL!A714</f>
        <v>0</v>
      </c>
      <c r="B714">
        <f>[1]FINAL!J714</f>
        <v>0</v>
      </c>
      <c r="C714">
        <f>[1]FINAL!K714</f>
        <v>0</v>
      </c>
      <c r="D714">
        <f>[1]FINAL!M714</f>
        <v>0</v>
      </c>
    </row>
    <row r="715" spans="1:4" x14ac:dyDescent="0.3">
      <c r="A715">
        <f>[1]FINAL!A715</f>
        <v>0</v>
      </c>
      <c r="B715">
        <f>[1]FINAL!J715</f>
        <v>0</v>
      </c>
      <c r="C715">
        <f>[1]FINAL!K715</f>
        <v>0</v>
      </c>
      <c r="D715">
        <f>[1]FINAL!M715</f>
        <v>0</v>
      </c>
    </row>
    <row r="716" spans="1:4" x14ac:dyDescent="0.3">
      <c r="A716">
        <f>[1]FINAL!A716</f>
        <v>0</v>
      </c>
      <c r="B716">
        <f>[1]FINAL!J716</f>
        <v>0</v>
      </c>
      <c r="C716">
        <f>[1]FINAL!K716</f>
        <v>0</v>
      </c>
      <c r="D716">
        <f>[1]FINAL!M716</f>
        <v>0</v>
      </c>
    </row>
    <row r="717" spans="1:4" x14ac:dyDescent="0.3">
      <c r="A717">
        <f>[1]FINAL!A717</f>
        <v>0</v>
      </c>
      <c r="B717">
        <f>[1]FINAL!J717</f>
        <v>0</v>
      </c>
      <c r="C717">
        <f>[1]FINAL!K717</f>
        <v>0</v>
      </c>
      <c r="D717">
        <f>[1]FINAL!M717</f>
        <v>0</v>
      </c>
    </row>
    <row r="718" spans="1:4" x14ac:dyDescent="0.3">
      <c r="A718">
        <f>[1]FINAL!A718</f>
        <v>0</v>
      </c>
      <c r="B718">
        <f>[1]FINAL!J718</f>
        <v>0</v>
      </c>
      <c r="C718">
        <f>[1]FINAL!K718</f>
        <v>0</v>
      </c>
      <c r="D718">
        <f>[1]FINAL!M718</f>
        <v>0</v>
      </c>
    </row>
    <row r="719" spans="1:4" x14ac:dyDescent="0.3">
      <c r="A719">
        <f>[1]FINAL!A719</f>
        <v>0</v>
      </c>
      <c r="B719">
        <f>[1]FINAL!J719</f>
        <v>0</v>
      </c>
      <c r="C719">
        <f>[1]FINAL!K719</f>
        <v>0</v>
      </c>
      <c r="D719">
        <f>[1]FINAL!M719</f>
        <v>0</v>
      </c>
    </row>
    <row r="720" spans="1:4" x14ac:dyDescent="0.3">
      <c r="A720">
        <f>[1]FINAL!A720</f>
        <v>0</v>
      </c>
      <c r="B720">
        <f>[1]FINAL!J720</f>
        <v>0</v>
      </c>
      <c r="C720">
        <f>[1]FINAL!K720</f>
        <v>0</v>
      </c>
      <c r="D720">
        <f>[1]FINAL!M720</f>
        <v>0</v>
      </c>
    </row>
    <row r="721" spans="1:4" x14ac:dyDescent="0.3">
      <c r="A721">
        <f>[1]FINAL!A721</f>
        <v>0</v>
      </c>
      <c r="B721">
        <f>[1]FINAL!J721</f>
        <v>0</v>
      </c>
      <c r="C721">
        <f>[1]FINAL!K721</f>
        <v>0</v>
      </c>
      <c r="D721">
        <f>[1]FINAL!M721</f>
        <v>0</v>
      </c>
    </row>
    <row r="722" spans="1:4" x14ac:dyDescent="0.3">
      <c r="A722">
        <f>[1]FINAL!A722</f>
        <v>0</v>
      </c>
      <c r="B722">
        <f>[1]FINAL!J722</f>
        <v>0</v>
      </c>
      <c r="C722">
        <f>[1]FINAL!K722</f>
        <v>0</v>
      </c>
      <c r="D722">
        <f>[1]FINAL!M722</f>
        <v>0</v>
      </c>
    </row>
    <row r="723" spans="1:4" x14ac:dyDescent="0.3">
      <c r="A723">
        <f>[1]FINAL!A723</f>
        <v>0</v>
      </c>
      <c r="B723">
        <f>[1]FINAL!J723</f>
        <v>0</v>
      </c>
      <c r="C723">
        <f>[1]FINAL!K723</f>
        <v>0</v>
      </c>
      <c r="D723">
        <f>[1]FINAL!M723</f>
        <v>0</v>
      </c>
    </row>
    <row r="724" spans="1:4" x14ac:dyDescent="0.3">
      <c r="A724">
        <f>[1]FINAL!A724</f>
        <v>0</v>
      </c>
      <c r="B724">
        <f>[1]FINAL!J724</f>
        <v>0</v>
      </c>
      <c r="C724">
        <f>[1]FINAL!K724</f>
        <v>0</v>
      </c>
      <c r="D724">
        <f>[1]FINAL!M724</f>
        <v>0</v>
      </c>
    </row>
    <row r="725" spans="1:4" x14ac:dyDescent="0.3">
      <c r="A725">
        <f>[1]FINAL!A725</f>
        <v>0</v>
      </c>
      <c r="B725">
        <f>[1]FINAL!J725</f>
        <v>0</v>
      </c>
      <c r="C725">
        <f>[1]FINAL!K725</f>
        <v>0</v>
      </c>
      <c r="D725">
        <f>[1]FINAL!M725</f>
        <v>0</v>
      </c>
    </row>
    <row r="726" spans="1:4" x14ac:dyDescent="0.3">
      <c r="A726">
        <f>[1]FINAL!A726</f>
        <v>0</v>
      </c>
      <c r="B726">
        <f>[1]FINAL!J726</f>
        <v>0</v>
      </c>
      <c r="C726">
        <f>[1]FINAL!K726</f>
        <v>0</v>
      </c>
      <c r="D726">
        <f>[1]FINAL!M726</f>
        <v>0</v>
      </c>
    </row>
    <row r="727" spans="1:4" x14ac:dyDescent="0.3">
      <c r="A727">
        <f>[1]FINAL!A727</f>
        <v>0</v>
      </c>
      <c r="B727">
        <f>[1]FINAL!J727</f>
        <v>0</v>
      </c>
      <c r="C727">
        <f>[1]FINAL!K727</f>
        <v>0</v>
      </c>
      <c r="D727">
        <f>[1]FINAL!M727</f>
        <v>0</v>
      </c>
    </row>
    <row r="728" spans="1:4" x14ac:dyDescent="0.3">
      <c r="A728">
        <f>[1]FINAL!A728</f>
        <v>0</v>
      </c>
      <c r="B728">
        <f>[1]FINAL!J728</f>
        <v>0</v>
      </c>
      <c r="C728">
        <f>[1]FINAL!K728</f>
        <v>0</v>
      </c>
      <c r="D728">
        <f>[1]FINAL!M728</f>
        <v>0</v>
      </c>
    </row>
    <row r="729" spans="1:4" x14ac:dyDescent="0.3">
      <c r="A729">
        <f>[1]FINAL!A729</f>
        <v>0</v>
      </c>
      <c r="B729">
        <f>[1]FINAL!J729</f>
        <v>0</v>
      </c>
      <c r="C729">
        <f>[1]FINAL!K729</f>
        <v>0</v>
      </c>
      <c r="D729">
        <f>[1]FINAL!M729</f>
        <v>0</v>
      </c>
    </row>
    <row r="730" spans="1:4" x14ac:dyDescent="0.3">
      <c r="A730">
        <f>[1]FINAL!A730</f>
        <v>0</v>
      </c>
      <c r="B730">
        <f>[1]FINAL!J730</f>
        <v>0</v>
      </c>
      <c r="C730">
        <f>[1]FINAL!K730</f>
        <v>0</v>
      </c>
      <c r="D730">
        <f>[1]FINAL!M730</f>
        <v>0</v>
      </c>
    </row>
    <row r="731" spans="1:4" x14ac:dyDescent="0.3">
      <c r="A731">
        <f>[1]FINAL!A731</f>
        <v>0</v>
      </c>
      <c r="B731">
        <f>[1]FINAL!J731</f>
        <v>0</v>
      </c>
      <c r="C731">
        <f>[1]FINAL!K731</f>
        <v>0</v>
      </c>
      <c r="D731">
        <f>[1]FINAL!M731</f>
        <v>0</v>
      </c>
    </row>
    <row r="732" spans="1:4" x14ac:dyDescent="0.3">
      <c r="A732">
        <f>[1]FINAL!A732</f>
        <v>0</v>
      </c>
      <c r="B732">
        <f>[1]FINAL!J732</f>
        <v>0</v>
      </c>
      <c r="C732">
        <f>[1]FINAL!K732</f>
        <v>0</v>
      </c>
      <c r="D732">
        <f>[1]FINAL!M732</f>
        <v>0</v>
      </c>
    </row>
    <row r="733" spans="1:4" x14ac:dyDescent="0.3">
      <c r="A733">
        <f>[1]FINAL!A733</f>
        <v>0</v>
      </c>
      <c r="B733">
        <f>[1]FINAL!J733</f>
        <v>0</v>
      </c>
      <c r="C733">
        <f>[1]FINAL!K733</f>
        <v>0</v>
      </c>
      <c r="D733">
        <f>[1]FINAL!M733</f>
        <v>0</v>
      </c>
    </row>
    <row r="734" spans="1:4" x14ac:dyDescent="0.3">
      <c r="A734">
        <f>[1]FINAL!A734</f>
        <v>0</v>
      </c>
      <c r="B734">
        <f>[1]FINAL!J734</f>
        <v>0</v>
      </c>
      <c r="C734">
        <f>[1]FINAL!K734</f>
        <v>0</v>
      </c>
      <c r="D734">
        <f>[1]FINAL!M734</f>
        <v>0</v>
      </c>
    </row>
    <row r="735" spans="1:4" x14ac:dyDescent="0.3">
      <c r="A735">
        <f>[1]FINAL!A735</f>
        <v>0</v>
      </c>
      <c r="B735">
        <f>[1]FINAL!J735</f>
        <v>0</v>
      </c>
      <c r="C735">
        <f>[1]FINAL!K735</f>
        <v>0</v>
      </c>
      <c r="D735">
        <f>[1]FINAL!M735</f>
        <v>0</v>
      </c>
    </row>
    <row r="736" spans="1:4" x14ac:dyDescent="0.3">
      <c r="A736">
        <f>[1]FINAL!A736</f>
        <v>0</v>
      </c>
      <c r="B736">
        <f>[1]FINAL!J736</f>
        <v>0</v>
      </c>
      <c r="C736">
        <f>[1]FINAL!K736</f>
        <v>0</v>
      </c>
      <c r="D736">
        <f>[1]FINAL!M736</f>
        <v>0</v>
      </c>
    </row>
    <row r="737" spans="1:4" x14ac:dyDescent="0.3">
      <c r="A737">
        <f>[1]FINAL!A737</f>
        <v>0</v>
      </c>
      <c r="B737">
        <f>[1]FINAL!J737</f>
        <v>0</v>
      </c>
      <c r="C737">
        <f>[1]FINAL!K737</f>
        <v>0</v>
      </c>
      <c r="D737">
        <f>[1]FINAL!M737</f>
        <v>0</v>
      </c>
    </row>
    <row r="738" spans="1:4" x14ac:dyDescent="0.3">
      <c r="A738">
        <f>[1]FINAL!A738</f>
        <v>0</v>
      </c>
      <c r="B738">
        <f>[1]FINAL!J738</f>
        <v>0</v>
      </c>
      <c r="C738">
        <f>[1]FINAL!K738</f>
        <v>0</v>
      </c>
      <c r="D738">
        <f>[1]FINAL!M738</f>
        <v>0</v>
      </c>
    </row>
    <row r="739" spans="1:4" x14ac:dyDescent="0.3">
      <c r="A739">
        <f>[1]FINAL!A739</f>
        <v>0</v>
      </c>
      <c r="B739">
        <f>[1]FINAL!J739</f>
        <v>0</v>
      </c>
      <c r="C739">
        <f>[1]FINAL!K739</f>
        <v>0</v>
      </c>
      <c r="D739">
        <f>[1]FINAL!M739</f>
        <v>0</v>
      </c>
    </row>
    <row r="740" spans="1:4" x14ac:dyDescent="0.3">
      <c r="A740">
        <f>[1]FINAL!A740</f>
        <v>0</v>
      </c>
      <c r="B740">
        <f>[1]FINAL!J740</f>
        <v>0</v>
      </c>
      <c r="C740">
        <f>[1]FINAL!K740</f>
        <v>0</v>
      </c>
      <c r="D740">
        <f>[1]FINAL!M740</f>
        <v>0</v>
      </c>
    </row>
    <row r="741" spans="1:4" x14ac:dyDescent="0.3">
      <c r="A741">
        <f>[1]FINAL!A741</f>
        <v>0</v>
      </c>
      <c r="B741">
        <f>[1]FINAL!J741</f>
        <v>0</v>
      </c>
      <c r="C741">
        <f>[1]FINAL!K741</f>
        <v>0</v>
      </c>
      <c r="D741">
        <f>[1]FINAL!M741</f>
        <v>0</v>
      </c>
    </row>
    <row r="742" spans="1:4" x14ac:dyDescent="0.3">
      <c r="A742">
        <f>[1]FINAL!A742</f>
        <v>0</v>
      </c>
      <c r="B742">
        <f>[1]FINAL!J742</f>
        <v>0</v>
      </c>
      <c r="C742">
        <f>[1]FINAL!K742</f>
        <v>0</v>
      </c>
      <c r="D742">
        <f>[1]FINAL!M742</f>
        <v>0</v>
      </c>
    </row>
    <row r="743" spans="1:4" x14ac:dyDescent="0.3">
      <c r="A743">
        <f>[1]FINAL!A743</f>
        <v>0</v>
      </c>
      <c r="B743">
        <f>[1]FINAL!J743</f>
        <v>0</v>
      </c>
      <c r="C743">
        <f>[1]FINAL!K743</f>
        <v>0</v>
      </c>
      <c r="D743">
        <f>[1]FINAL!M743</f>
        <v>0</v>
      </c>
    </row>
    <row r="744" spans="1:4" x14ac:dyDescent="0.3">
      <c r="A744">
        <f>[1]FINAL!A744</f>
        <v>0</v>
      </c>
      <c r="B744">
        <f>[1]FINAL!J744</f>
        <v>0</v>
      </c>
      <c r="C744">
        <f>[1]FINAL!K744</f>
        <v>0</v>
      </c>
      <c r="D744">
        <f>[1]FINAL!M744</f>
        <v>0</v>
      </c>
    </row>
    <row r="745" spans="1:4" x14ac:dyDescent="0.3">
      <c r="A745">
        <f>[1]FINAL!A745</f>
        <v>0</v>
      </c>
      <c r="B745">
        <f>[1]FINAL!J745</f>
        <v>0</v>
      </c>
      <c r="C745">
        <f>[1]FINAL!K745</f>
        <v>0</v>
      </c>
      <c r="D745">
        <f>[1]FINAL!M745</f>
        <v>0</v>
      </c>
    </row>
    <row r="746" spans="1:4" x14ac:dyDescent="0.3">
      <c r="A746" t="str">
        <f>[1]FINAL!A746</f>
        <v>Nicolas Pépé</v>
      </c>
      <c r="B746">
        <f>[1]FINAL!J746</f>
        <v>0</v>
      </c>
      <c r="C746">
        <f>[1]FINAL!K746</f>
        <v>0</v>
      </c>
      <c r="D746" t="str">
        <f>[1]FINAL!M746</f>
        <v>ARS</v>
      </c>
    </row>
    <row r="747" spans="1:4" x14ac:dyDescent="0.3">
      <c r="A747">
        <f>[1]FINAL!A747</f>
        <v>0</v>
      </c>
      <c r="B747">
        <f>[1]FINAL!J747</f>
        <v>0</v>
      </c>
      <c r="C747">
        <f>[1]FINAL!K747</f>
        <v>0</v>
      </c>
      <c r="D747">
        <f>[1]FINAL!M747</f>
        <v>0</v>
      </c>
    </row>
    <row r="748" spans="1:4" x14ac:dyDescent="0.3">
      <c r="A748" t="str">
        <f>[1]FINAL!A748</f>
        <v>Nuno Varela Tavares</v>
      </c>
      <c r="B748">
        <f>[1]FINAL!J748</f>
        <v>0</v>
      </c>
      <c r="C748">
        <f>[1]FINAL!K748</f>
        <v>0</v>
      </c>
      <c r="D748" t="str">
        <f>[1]FINAL!M748</f>
        <v>ARS</v>
      </c>
    </row>
    <row r="749" spans="1:4" x14ac:dyDescent="0.3">
      <c r="A749" t="str">
        <f>[1]FINAL!A749</f>
        <v>Tim Iroegbunam</v>
      </c>
      <c r="B749">
        <f>[1]FINAL!J749</f>
        <v>0</v>
      </c>
      <c r="C749">
        <f>[1]FINAL!K749</f>
        <v>0</v>
      </c>
      <c r="D749" t="str">
        <f>[1]FINAL!M749</f>
        <v>AVL</v>
      </c>
    </row>
    <row r="750" spans="1:4" x14ac:dyDescent="0.3">
      <c r="A750" t="str">
        <f>[1]FINAL!A750</f>
        <v>Jaden Philogene-Bidace</v>
      </c>
      <c r="B750">
        <f>[1]FINAL!J750</f>
        <v>0</v>
      </c>
      <c r="C750">
        <f>[1]FINAL!K750</f>
        <v>0</v>
      </c>
      <c r="D750" t="str">
        <f>[1]FINAL!M750</f>
        <v>AVL</v>
      </c>
    </row>
    <row r="751" spans="1:4" x14ac:dyDescent="0.3">
      <c r="A751" t="str">
        <f>[1]FINAL!A751</f>
        <v>Keinan Davis</v>
      </c>
      <c r="B751">
        <f>[1]FINAL!J751</f>
        <v>0</v>
      </c>
      <c r="C751">
        <f>[1]FINAL!K751</f>
        <v>0</v>
      </c>
      <c r="D751" t="str">
        <f>[1]FINAL!M751</f>
        <v>AVL</v>
      </c>
    </row>
    <row r="752" spans="1:4" x14ac:dyDescent="0.3">
      <c r="A752" t="str">
        <f>[1]FINAL!A752</f>
        <v>Kortney Hause</v>
      </c>
      <c r="B752">
        <f>[1]FINAL!J752</f>
        <v>0</v>
      </c>
      <c r="C752">
        <f>[1]FINAL!K752</f>
        <v>0</v>
      </c>
      <c r="D752" t="str">
        <f>[1]FINAL!M752</f>
        <v>AVL</v>
      </c>
    </row>
    <row r="753" spans="1:4" x14ac:dyDescent="0.3">
      <c r="A753" t="str">
        <f>[1]FINAL!A753</f>
        <v>Darren Randolph</v>
      </c>
      <c r="B753">
        <f>[1]FINAL!J753</f>
        <v>0</v>
      </c>
      <c r="C753">
        <f>[1]FINAL!K753</f>
        <v>0</v>
      </c>
      <c r="D753" t="str">
        <f>[1]FINAL!M753</f>
        <v>BOU</v>
      </c>
    </row>
    <row r="754" spans="1:4" x14ac:dyDescent="0.3">
      <c r="A754" t="str">
        <f>[1]FINAL!A754</f>
        <v>James Hill</v>
      </c>
      <c r="B754">
        <f>[1]FINAL!J754</f>
        <v>0</v>
      </c>
      <c r="C754">
        <f>[1]FINAL!K754</f>
        <v>0</v>
      </c>
      <c r="D754" t="str">
        <f>[1]FINAL!M754</f>
        <v>BOU</v>
      </c>
    </row>
    <row r="755" spans="1:4" x14ac:dyDescent="0.3">
      <c r="A755" t="str">
        <f>[1]FINAL!A755</f>
        <v>Mads Bidstrup</v>
      </c>
      <c r="B755">
        <f>[1]FINAL!J755</f>
        <v>0</v>
      </c>
      <c r="C755">
        <f>[1]FINAL!K755</f>
        <v>0</v>
      </c>
      <c r="D755" t="str">
        <f>[1]FINAL!M755</f>
        <v>BRE</v>
      </c>
    </row>
    <row r="756" spans="1:4" x14ac:dyDescent="0.3">
      <c r="A756" t="str">
        <f>[1]FINAL!A756</f>
        <v>Thomas Strakosha</v>
      </c>
      <c r="B756">
        <f>[1]FINAL!J756</f>
        <v>0</v>
      </c>
      <c r="C756">
        <f>[1]FINAL!K756</f>
        <v>0</v>
      </c>
      <c r="D756" t="str">
        <f>[1]FINAL!M756</f>
        <v>BRE</v>
      </c>
    </row>
    <row r="757" spans="1:4" x14ac:dyDescent="0.3">
      <c r="A757" t="str">
        <f>[1]FINAL!A757</f>
        <v>Ellery Balcombe</v>
      </c>
      <c r="B757">
        <f>[1]FINAL!J757</f>
        <v>0</v>
      </c>
      <c r="C757">
        <f>[1]FINAL!K757</f>
        <v>0</v>
      </c>
      <c r="D757" t="str">
        <f>[1]FINAL!M757</f>
        <v>BRE</v>
      </c>
    </row>
    <row r="758" spans="1:4" x14ac:dyDescent="0.3">
      <c r="A758" t="str">
        <f>[1]FINAL!A758</f>
        <v>Charlie Goode</v>
      </c>
      <c r="B758">
        <f>[1]FINAL!J758</f>
        <v>0</v>
      </c>
      <c r="C758">
        <f>[1]FINAL!K758</f>
        <v>0</v>
      </c>
      <c r="D758" t="str">
        <f>[1]FINAL!M758</f>
        <v>BRE</v>
      </c>
    </row>
    <row r="759" spans="1:4" x14ac:dyDescent="0.3">
      <c r="A759" t="str">
        <f>[1]FINAL!A759</f>
        <v>Jakub Moder</v>
      </c>
      <c r="B759">
        <f>[1]FINAL!J759</f>
        <v>0</v>
      </c>
      <c r="C759">
        <f>[1]FINAL!K759</f>
        <v>0</v>
      </c>
      <c r="D759" t="str">
        <f>[1]FINAL!M759</f>
        <v>BHA</v>
      </c>
    </row>
    <row r="760" spans="1:4" x14ac:dyDescent="0.3">
      <c r="A760" t="str">
        <f>[1]FINAL!A760</f>
        <v>Steven Alzate</v>
      </c>
      <c r="B760">
        <f>[1]FINAL!J760</f>
        <v>0</v>
      </c>
      <c r="C760">
        <f>[1]FINAL!K760</f>
        <v>0</v>
      </c>
      <c r="D760" t="str">
        <f>[1]FINAL!M760</f>
        <v>BHA</v>
      </c>
    </row>
    <row r="761" spans="1:4" x14ac:dyDescent="0.3">
      <c r="A761" t="str">
        <f>[1]FINAL!A761</f>
        <v>Kacper Kozłowski</v>
      </c>
      <c r="B761">
        <f>[1]FINAL!J761</f>
        <v>0</v>
      </c>
      <c r="C761">
        <f>[1]FINAL!K761</f>
        <v>0</v>
      </c>
      <c r="D761" t="str">
        <f>[1]FINAL!M761</f>
        <v>BHA</v>
      </c>
    </row>
    <row r="762" spans="1:4" x14ac:dyDescent="0.3">
      <c r="A762" t="str">
        <f>[1]FINAL!A762</f>
        <v>Kjell Scherpen</v>
      </c>
      <c r="B762">
        <f>[1]FINAL!J762</f>
        <v>0</v>
      </c>
      <c r="C762">
        <f>[1]FINAL!K762</f>
        <v>0</v>
      </c>
      <c r="D762" t="str">
        <f>[1]FINAL!M762</f>
        <v>BHA</v>
      </c>
    </row>
    <row r="763" spans="1:4" x14ac:dyDescent="0.3">
      <c r="A763" t="str">
        <f>[1]FINAL!A763</f>
        <v>Callum Hudson-Odoi</v>
      </c>
      <c r="B763">
        <f>[1]FINAL!J763</f>
        <v>0</v>
      </c>
      <c r="C763">
        <f>[1]FINAL!K763</f>
        <v>0</v>
      </c>
      <c r="D763" t="str">
        <f>[1]FINAL!M763</f>
        <v>CHE</v>
      </c>
    </row>
    <row r="764" spans="1:4" x14ac:dyDescent="0.3">
      <c r="A764" t="str">
        <f>[1]FINAL!A764</f>
        <v>Malang Sarr</v>
      </c>
      <c r="B764">
        <f>[1]FINAL!J764</f>
        <v>0</v>
      </c>
      <c r="C764">
        <f>[1]FINAL!K764</f>
        <v>0</v>
      </c>
      <c r="D764" t="str">
        <f>[1]FINAL!M764</f>
        <v>CHE</v>
      </c>
    </row>
    <row r="765" spans="1:4" x14ac:dyDescent="0.3">
      <c r="A765" t="str">
        <f>[1]FINAL!A765</f>
        <v>Ethan Ampadu</v>
      </c>
      <c r="B765">
        <f>[1]FINAL!J765</f>
        <v>0</v>
      </c>
      <c r="C765">
        <f>[1]FINAL!K765</f>
        <v>0</v>
      </c>
      <c r="D765" t="str">
        <f>[1]FINAL!M765</f>
        <v>CHE</v>
      </c>
    </row>
    <row r="766" spans="1:4" x14ac:dyDescent="0.3">
      <c r="A766" t="str">
        <f>[1]FINAL!A766</f>
        <v>Remi Matthews</v>
      </c>
      <c r="B766">
        <f>[1]FINAL!J766</f>
        <v>0</v>
      </c>
      <c r="C766">
        <f>[1]FINAL!K766</f>
        <v>0</v>
      </c>
      <c r="D766" t="str">
        <f>[1]FINAL!M766</f>
        <v>CRY</v>
      </c>
    </row>
    <row r="767" spans="1:4" x14ac:dyDescent="0.3">
      <c r="A767" t="str">
        <f>[1]FINAL!A767</f>
        <v>Luke Plange</v>
      </c>
      <c r="B767">
        <f>[1]FINAL!J767</f>
        <v>0</v>
      </c>
      <c r="C767">
        <f>[1]FINAL!K767</f>
        <v>0</v>
      </c>
      <c r="D767" t="str">
        <f>[1]FINAL!M767</f>
        <v>CRY</v>
      </c>
    </row>
    <row r="768" spans="1:4" x14ac:dyDescent="0.3">
      <c r="A768" t="str">
        <f>[1]FINAL!A768</f>
        <v>André Tavares Gomes</v>
      </c>
      <c r="B768">
        <f>[1]FINAL!J768</f>
        <v>0</v>
      </c>
      <c r="C768">
        <f>[1]FINAL!K768</f>
        <v>0</v>
      </c>
      <c r="D768" t="str">
        <f>[1]FINAL!M768</f>
        <v>EVE</v>
      </c>
    </row>
    <row r="769" spans="1:4" x14ac:dyDescent="0.3">
      <c r="A769" t="str">
        <f>[1]FINAL!A769</f>
        <v>Jean-Philippe Gbamin</v>
      </c>
      <c r="B769">
        <f>[1]FINAL!J769</f>
        <v>0</v>
      </c>
      <c r="C769">
        <f>[1]FINAL!K769</f>
        <v>0</v>
      </c>
      <c r="D769" t="str">
        <f>[1]FINAL!M769</f>
        <v>EVE</v>
      </c>
    </row>
    <row r="770" spans="1:4" x14ac:dyDescent="0.3">
      <c r="A770" t="str">
        <f>[1]FINAL!A770</f>
        <v>Jarrad Branthwaite</v>
      </c>
      <c r="B770">
        <f>[1]FINAL!J770</f>
        <v>0</v>
      </c>
      <c r="C770">
        <f>[1]FINAL!K770</f>
        <v>0</v>
      </c>
      <c r="D770" t="str">
        <f>[1]FINAL!M770</f>
        <v>EVE</v>
      </c>
    </row>
    <row r="771" spans="1:4" x14ac:dyDescent="0.3">
      <c r="A771" t="str">
        <f>[1]FINAL!A771</f>
        <v>Anthony Knockaert</v>
      </c>
      <c r="B771">
        <f>[1]FINAL!J771</f>
        <v>0</v>
      </c>
      <c r="C771">
        <f>[1]FINAL!K771</f>
        <v>0</v>
      </c>
      <c r="D771" t="str">
        <f>[1]FINAL!M771</f>
        <v>FUL</v>
      </c>
    </row>
    <row r="772" spans="1:4" x14ac:dyDescent="0.3">
      <c r="A772" t="str">
        <f>[1]FINAL!A772</f>
        <v>Ivan Neves Abreu Cavaleiro</v>
      </c>
      <c r="B772">
        <f>[1]FINAL!J772</f>
        <v>0</v>
      </c>
      <c r="C772">
        <f>[1]FINAL!K772</f>
        <v>0</v>
      </c>
      <c r="D772" t="str">
        <f>[1]FINAL!M772</f>
        <v>FUL</v>
      </c>
    </row>
    <row r="773" spans="1:4" x14ac:dyDescent="0.3">
      <c r="A773" t="str">
        <f>[1]FINAL!A773</f>
        <v>Rodrigo Muniz Carvalho</v>
      </c>
      <c r="B773">
        <f>[1]FINAL!J773</f>
        <v>0</v>
      </c>
      <c r="C773">
        <f>[1]FINAL!K773</f>
        <v>0</v>
      </c>
      <c r="D773" t="str">
        <f>[1]FINAL!M773</f>
        <v>FUL</v>
      </c>
    </row>
    <row r="774" spans="1:4" x14ac:dyDescent="0.3">
      <c r="A774" t="str">
        <f>[1]FINAL!A774</f>
        <v>Terence Kongolo</v>
      </c>
      <c r="B774">
        <f>[1]FINAL!J774</f>
        <v>0</v>
      </c>
      <c r="C774">
        <f>[1]FINAL!K774</f>
        <v>0</v>
      </c>
      <c r="D774" t="str">
        <f>[1]FINAL!M774</f>
        <v>FUL</v>
      </c>
    </row>
    <row r="775" spans="1:4" x14ac:dyDescent="0.3">
      <c r="A775" t="str">
        <f>[1]FINAL!A775</f>
        <v>Adrián San Miguel del Castillo</v>
      </c>
      <c r="B775">
        <f>[1]FINAL!J775</f>
        <v>0</v>
      </c>
      <c r="C775">
        <f>[1]FINAL!K775</f>
        <v>0</v>
      </c>
      <c r="D775" t="str">
        <f>[1]FINAL!M775</f>
        <v>LIV</v>
      </c>
    </row>
    <row r="776" spans="1:4" x14ac:dyDescent="0.3">
      <c r="A776" t="str">
        <f>[1]FINAL!A776</f>
        <v>Sepp van den Berg</v>
      </c>
      <c r="B776">
        <f>[1]FINAL!J776</f>
        <v>0</v>
      </c>
      <c r="C776">
        <f>[1]FINAL!K776</f>
        <v>0</v>
      </c>
      <c r="D776" t="str">
        <f>[1]FINAL!M776</f>
        <v>LIV</v>
      </c>
    </row>
    <row r="777" spans="1:4" x14ac:dyDescent="0.3">
      <c r="A777" t="str">
        <f>[1]FINAL!A777</f>
        <v>Marvelous Nakamba</v>
      </c>
      <c r="B777">
        <f>[1]FINAL!J777</f>
        <v>0</v>
      </c>
      <c r="C777">
        <f>[1]FINAL!K777</f>
        <v>0</v>
      </c>
      <c r="D777" t="str">
        <f>[1]FINAL!M777</f>
        <v>LUT</v>
      </c>
    </row>
    <row r="778" spans="1:4" x14ac:dyDescent="0.3">
      <c r="A778" t="str">
        <f>[1]FINAL!A778</f>
        <v>James McAtee</v>
      </c>
      <c r="B778">
        <f>[1]FINAL!J778</f>
        <v>0</v>
      </c>
      <c r="C778">
        <f>[1]FINAL!K778</f>
        <v>0</v>
      </c>
      <c r="D778" t="str">
        <f>[1]FINAL!M778</f>
        <v>MCI</v>
      </c>
    </row>
    <row r="779" spans="1:4" x14ac:dyDescent="0.3">
      <c r="A779" t="str">
        <f>[1]FINAL!A779</f>
        <v>Scott Carson</v>
      </c>
      <c r="B779">
        <f>[1]FINAL!J779</f>
        <v>0</v>
      </c>
      <c r="C779">
        <f>[1]FINAL!K779</f>
        <v>0</v>
      </c>
      <c r="D779" t="str">
        <f>[1]FINAL!M779</f>
        <v>MCI</v>
      </c>
    </row>
    <row r="780" spans="1:4" x14ac:dyDescent="0.3">
      <c r="A780" t="str">
        <f>[1]FINAL!A780</f>
        <v>Zack Steffen</v>
      </c>
      <c r="B780">
        <f>[1]FINAL!J780</f>
        <v>0</v>
      </c>
      <c r="C780">
        <f>[1]FINAL!K780</f>
        <v>0</v>
      </c>
      <c r="D780" t="str">
        <f>[1]FINAL!M780</f>
        <v>MCI</v>
      </c>
    </row>
    <row r="781" spans="1:4" x14ac:dyDescent="0.3">
      <c r="A781" t="str">
        <f>[1]FINAL!A781</f>
        <v>Amad Diallo</v>
      </c>
      <c r="B781">
        <f>[1]FINAL!J781</f>
        <v>0</v>
      </c>
      <c r="C781">
        <f>[1]FINAL!K781</f>
        <v>0</v>
      </c>
      <c r="D781" t="str">
        <f>[1]FINAL!M781</f>
        <v>MUN</v>
      </c>
    </row>
    <row r="782" spans="1:4" x14ac:dyDescent="0.3">
      <c r="A782" t="str">
        <f>[1]FINAL!A782</f>
        <v>Tom Heaton</v>
      </c>
      <c r="B782">
        <f>[1]FINAL!J782</f>
        <v>0</v>
      </c>
      <c r="C782">
        <f>[1]FINAL!K782</f>
        <v>0</v>
      </c>
      <c r="D782" t="str">
        <f>[1]FINAL!M782</f>
        <v>MUN</v>
      </c>
    </row>
    <row r="783" spans="1:4" x14ac:dyDescent="0.3">
      <c r="A783" t="str">
        <f>[1]FINAL!A783</f>
        <v>Brandon Williams</v>
      </c>
      <c r="B783">
        <f>[1]FINAL!J783</f>
        <v>0</v>
      </c>
      <c r="C783">
        <f>[1]FINAL!K783</f>
        <v>0</v>
      </c>
      <c r="D783" t="str">
        <f>[1]FINAL!M783</f>
        <v>MUN</v>
      </c>
    </row>
    <row r="784" spans="1:4" x14ac:dyDescent="0.3">
      <c r="A784" t="str">
        <f>[1]FINAL!A784</f>
        <v>Eric Bailly</v>
      </c>
      <c r="B784">
        <f>[1]FINAL!J784</f>
        <v>0</v>
      </c>
      <c r="C784">
        <f>[1]FINAL!K784</f>
        <v>0</v>
      </c>
      <c r="D784" t="str">
        <f>[1]FINAL!M784</f>
        <v>MUN</v>
      </c>
    </row>
    <row r="785" spans="1:4" x14ac:dyDescent="0.3">
      <c r="A785" t="str">
        <f>[1]FINAL!A785</f>
        <v>Alex Telles</v>
      </c>
      <c r="B785">
        <f>[1]FINAL!J785</f>
        <v>0</v>
      </c>
      <c r="C785">
        <f>[1]FINAL!K785</f>
        <v>0</v>
      </c>
      <c r="D785" t="str">
        <f>[1]FINAL!M785</f>
        <v>MUN</v>
      </c>
    </row>
    <row r="786" spans="1:4" x14ac:dyDescent="0.3">
      <c r="A786" t="str">
        <f>[1]FINAL!A786</f>
        <v>Jeff Hendrick</v>
      </c>
      <c r="B786">
        <f>[1]FINAL!J786</f>
        <v>0</v>
      </c>
      <c r="C786">
        <f>[1]FINAL!K786</f>
        <v>0</v>
      </c>
      <c r="D786" t="str">
        <f>[1]FINAL!M786</f>
        <v>NEW</v>
      </c>
    </row>
    <row r="787" spans="1:4" x14ac:dyDescent="0.3">
      <c r="A787" t="str">
        <f>[1]FINAL!A787</f>
        <v>Karl Darlow</v>
      </c>
      <c r="B787">
        <f>[1]FINAL!J787</f>
        <v>0</v>
      </c>
      <c r="C787">
        <f>[1]FINAL!K787</f>
        <v>0</v>
      </c>
      <c r="D787" t="str">
        <f>[1]FINAL!M787</f>
        <v>NEW</v>
      </c>
    </row>
    <row r="788" spans="1:4" x14ac:dyDescent="0.3">
      <c r="A788" t="str">
        <f>[1]FINAL!A788</f>
        <v>Paul Dummett</v>
      </c>
      <c r="B788">
        <f>[1]FINAL!J788</f>
        <v>0</v>
      </c>
      <c r="C788">
        <f>[1]FINAL!K788</f>
        <v>0</v>
      </c>
      <c r="D788" t="str">
        <f>[1]FINAL!M788</f>
        <v>NEW</v>
      </c>
    </row>
    <row r="789" spans="1:4" x14ac:dyDescent="0.3">
      <c r="A789" t="str">
        <f>[1]FINAL!A789</f>
        <v>Harrison Ashby</v>
      </c>
      <c r="B789">
        <f>[1]FINAL!J789</f>
        <v>0</v>
      </c>
      <c r="C789">
        <f>[1]FINAL!K789</f>
        <v>0</v>
      </c>
      <c r="D789" t="str">
        <f>[1]FINAL!M789</f>
        <v>NEW</v>
      </c>
    </row>
    <row r="790" spans="1:4" x14ac:dyDescent="0.3">
      <c r="A790" t="str">
        <f>[1]FINAL!A790</f>
        <v>Harry Arter</v>
      </c>
      <c r="B790">
        <f>[1]FINAL!J790</f>
        <v>0</v>
      </c>
      <c r="C790">
        <f>[1]FINAL!K790</f>
        <v>0</v>
      </c>
      <c r="D790" t="str">
        <f>[1]FINAL!M790</f>
        <v>NFO</v>
      </c>
    </row>
    <row r="791" spans="1:4" x14ac:dyDescent="0.3">
      <c r="A791" t="str">
        <f>[1]FINAL!A791</f>
        <v>Braian Ojeda Rodríguez</v>
      </c>
      <c r="B791">
        <f>[1]FINAL!J791</f>
        <v>0</v>
      </c>
      <c r="C791">
        <f>[1]FINAL!K791</f>
        <v>0</v>
      </c>
      <c r="D791" t="str">
        <f>[1]FINAL!M791</f>
        <v>NFO</v>
      </c>
    </row>
    <row r="792" spans="1:4" x14ac:dyDescent="0.3">
      <c r="A792" t="str">
        <f>[1]FINAL!A792</f>
        <v>Mohamed Dräger</v>
      </c>
      <c r="B792">
        <f>[1]FINAL!J792</f>
        <v>0</v>
      </c>
      <c r="C792">
        <f>[1]FINAL!K792</f>
        <v>0</v>
      </c>
      <c r="D792" t="str">
        <f>[1]FINAL!M792</f>
        <v>NFO</v>
      </c>
    </row>
    <row r="793" spans="1:4" x14ac:dyDescent="0.3">
      <c r="A793" t="str">
        <f>[1]FINAL!A793</f>
        <v>Jonathan Panzo</v>
      </c>
      <c r="B793">
        <f>[1]FINAL!J793</f>
        <v>0</v>
      </c>
      <c r="C793">
        <f>[1]FINAL!K793</f>
        <v>0</v>
      </c>
      <c r="D793" t="str">
        <f>[1]FINAL!M793</f>
        <v>NFO</v>
      </c>
    </row>
    <row r="794" spans="1:4" x14ac:dyDescent="0.3">
      <c r="A794" t="str">
        <f>[1]FINAL!A794</f>
        <v>Loïc Mbe Soh</v>
      </c>
      <c r="B794">
        <f>[1]FINAL!J794</f>
        <v>0</v>
      </c>
      <c r="C794">
        <f>[1]FINAL!K794</f>
        <v>0</v>
      </c>
      <c r="D794" t="str">
        <f>[1]FINAL!M794</f>
        <v>NFO</v>
      </c>
    </row>
    <row r="795" spans="1:4" x14ac:dyDescent="0.3">
      <c r="A795" t="str">
        <f>[1]FINAL!A795</f>
        <v>Omar Richards</v>
      </c>
      <c r="B795">
        <f>[1]FINAL!J795</f>
        <v>0</v>
      </c>
      <c r="C795">
        <f>[1]FINAL!K795</f>
        <v>0</v>
      </c>
      <c r="D795" t="str">
        <f>[1]FINAL!M795</f>
        <v>NFO</v>
      </c>
    </row>
    <row r="796" spans="1:4" x14ac:dyDescent="0.3">
      <c r="A796" t="str">
        <f>[1]FINAL!A796</f>
        <v>Richie Laryea</v>
      </c>
      <c r="B796">
        <f>[1]FINAL!J796</f>
        <v>0</v>
      </c>
      <c r="C796">
        <f>[1]FINAL!K796</f>
        <v>0</v>
      </c>
      <c r="D796" t="str">
        <f>[1]FINAL!M796</f>
        <v>NFO</v>
      </c>
    </row>
    <row r="797" spans="1:4" x14ac:dyDescent="0.3">
      <c r="A797" t="str">
        <f>[1]FINAL!A797</f>
        <v>Brandon Austin</v>
      </c>
      <c r="B797">
        <f>[1]FINAL!J797</f>
        <v>0</v>
      </c>
      <c r="C797">
        <f>[1]FINAL!K797</f>
        <v>0</v>
      </c>
      <c r="D797" t="str">
        <f>[1]FINAL!M797</f>
        <v>TOT</v>
      </c>
    </row>
    <row r="798" spans="1:4" x14ac:dyDescent="0.3">
      <c r="A798" t="str">
        <f>[1]FINAL!A798</f>
        <v>Sergio Reguilón</v>
      </c>
      <c r="B798">
        <f>[1]FINAL!J798</f>
        <v>0</v>
      </c>
      <c r="C798">
        <f>[1]FINAL!K798</f>
        <v>0</v>
      </c>
      <c r="D798" t="str">
        <f>[1]FINAL!M798</f>
        <v>TOT</v>
      </c>
    </row>
    <row r="799" spans="1:4" x14ac:dyDescent="0.3">
      <c r="A799" t="str">
        <f>[1]FINAL!A799</f>
        <v>Joe Rodon</v>
      </c>
      <c r="B799">
        <f>[1]FINAL!J799</f>
        <v>0</v>
      </c>
      <c r="C799">
        <f>[1]FINAL!K799</f>
        <v>0</v>
      </c>
      <c r="D799" t="str">
        <f>[1]FINAL!M799</f>
        <v>TOT</v>
      </c>
    </row>
    <row r="800" spans="1:4" x14ac:dyDescent="0.3">
      <c r="A800" t="str">
        <f>[1]FINAL!A800</f>
        <v>Luke Cundle</v>
      </c>
      <c r="B800">
        <f>[1]FINAL!J800</f>
        <v>0</v>
      </c>
      <c r="C800">
        <f>[1]FINAL!K800</f>
        <v>0</v>
      </c>
      <c r="D800" t="str">
        <f>[1]FINAL!M800</f>
        <v>WOL</v>
      </c>
    </row>
    <row r="801" spans="1:4" x14ac:dyDescent="0.3">
      <c r="A801" t="str">
        <f>[1]FINAL!A801</f>
        <v>Francisco Jorge Tomás Oliveira</v>
      </c>
      <c r="B801">
        <f>[1]FINAL!J801</f>
        <v>0</v>
      </c>
      <c r="C801">
        <f>[1]FINAL!K801</f>
        <v>0</v>
      </c>
      <c r="D801" t="str">
        <f>[1]FINAL!M801</f>
        <v>WOL</v>
      </c>
    </row>
    <row r="802" spans="1:4" x14ac:dyDescent="0.3">
      <c r="A802" t="str">
        <f>[1]FINAL!A802</f>
        <v>Matija Šarkić</v>
      </c>
      <c r="B802">
        <f>[1]FINAL!J802</f>
        <v>0</v>
      </c>
      <c r="C802">
        <f>[1]FINAL!K802</f>
        <v>0</v>
      </c>
      <c r="D802" t="str">
        <f>[1]FINAL!M802</f>
        <v>WOL</v>
      </c>
    </row>
    <row r="803" spans="1:4" x14ac:dyDescent="0.3">
      <c r="A803">
        <f>[1]FINAL!A803</f>
        <v>0</v>
      </c>
      <c r="B803">
        <f>[1]FINAL!J803</f>
        <v>0</v>
      </c>
      <c r="C803">
        <f>[1]FINAL!K803</f>
        <v>0</v>
      </c>
      <c r="D803">
        <f>[1]FINAL!M803</f>
        <v>0</v>
      </c>
    </row>
    <row r="804" spans="1:4" x14ac:dyDescent="0.3">
      <c r="A804">
        <f>[1]FINAL!A804</f>
        <v>0</v>
      </c>
      <c r="B804">
        <f>[1]FINAL!J804</f>
        <v>0</v>
      </c>
      <c r="C804">
        <f>[1]FINAL!K804</f>
        <v>0</v>
      </c>
      <c r="D804">
        <f>[1]FINAL!M804</f>
        <v>0</v>
      </c>
    </row>
    <row r="805" spans="1:4" x14ac:dyDescent="0.3">
      <c r="A805">
        <f>[1]FINAL!A805</f>
        <v>0</v>
      </c>
      <c r="B805">
        <f>[1]FINAL!J805</f>
        <v>0</v>
      </c>
      <c r="C805">
        <f>[1]FINAL!K805</f>
        <v>0</v>
      </c>
      <c r="D805">
        <f>[1]FINAL!M805</f>
        <v>0</v>
      </c>
    </row>
    <row r="806" spans="1:4" x14ac:dyDescent="0.3">
      <c r="A806">
        <f>[1]FINAL!A806</f>
        <v>0</v>
      </c>
      <c r="B806">
        <f>[1]FINAL!J806</f>
        <v>0</v>
      </c>
      <c r="C806">
        <f>[1]FINAL!K806</f>
        <v>0</v>
      </c>
      <c r="D806">
        <f>[1]FINAL!M806</f>
        <v>0</v>
      </c>
    </row>
    <row r="807" spans="1:4" x14ac:dyDescent="0.3">
      <c r="A807">
        <f>[1]FINAL!A807</f>
        <v>0</v>
      </c>
      <c r="B807">
        <f>[1]FINAL!J807</f>
        <v>0</v>
      </c>
      <c r="C807">
        <f>[1]FINAL!K807</f>
        <v>0</v>
      </c>
      <c r="D807">
        <f>[1]FINAL!M807</f>
        <v>0</v>
      </c>
    </row>
    <row r="808" spans="1:4" x14ac:dyDescent="0.3">
      <c r="A808">
        <f>[1]FINAL!A808</f>
        <v>0</v>
      </c>
      <c r="B808">
        <f>[1]FINAL!J808</f>
        <v>0</v>
      </c>
      <c r="C808">
        <f>[1]FINAL!K808</f>
        <v>0</v>
      </c>
      <c r="D808">
        <f>[1]FINAL!M808</f>
        <v>0</v>
      </c>
    </row>
    <row r="809" spans="1:4" x14ac:dyDescent="0.3">
      <c r="A809">
        <f>[1]FINAL!A809</f>
        <v>0</v>
      </c>
      <c r="B809">
        <f>[1]FINAL!J809</f>
        <v>0</v>
      </c>
      <c r="C809">
        <f>[1]FINAL!K809</f>
        <v>0</v>
      </c>
      <c r="D809">
        <f>[1]FINAL!M809</f>
        <v>0</v>
      </c>
    </row>
    <row r="810" spans="1:4" x14ac:dyDescent="0.3">
      <c r="A810">
        <f>[1]FINAL!A810</f>
        <v>0</v>
      </c>
      <c r="B810">
        <f>[1]FINAL!J810</f>
        <v>0</v>
      </c>
      <c r="C810">
        <f>[1]FINAL!K810</f>
        <v>0</v>
      </c>
      <c r="D810">
        <f>[1]FINAL!M810</f>
        <v>0</v>
      </c>
    </row>
    <row r="811" spans="1:4" x14ac:dyDescent="0.3">
      <c r="A811">
        <f>[1]FINAL!A811</f>
        <v>0</v>
      </c>
      <c r="B811">
        <f>[1]FINAL!J811</f>
        <v>0</v>
      </c>
      <c r="C811">
        <f>[1]FINAL!K811</f>
        <v>0</v>
      </c>
      <c r="D811">
        <f>[1]FINAL!M811</f>
        <v>0</v>
      </c>
    </row>
    <row r="812" spans="1:4" x14ac:dyDescent="0.3">
      <c r="A812">
        <f>[1]FINAL!A812</f>
        <v>0</v>
      </c>
      <c r="B812">
        <f>[1]FINAL!J812</f>
        <v>0</v>
      </c>
      <c r="C812">
        <f>[1]FINAL!K812</f>
        <v>0</v>
      </c>
      <c r="D812">
        <f>[1]FINAL!M812</f>
        <v>0</v>
      </c>
    </row>
    <row r="813" spans="1:4" x14ac:dyDescent="0.3">
      <c r="A813">
        <f>[1]FINAL!A813</f>
        <v>0</v>
      </c>
      <c r="B813">
        <f>[1]FINAL!J813</f>
        <v>0</v>
      </c>
      <c r="C813">
        <f>[1]FINAL!K813</f>
        <v>0</v>
      </c>
      <c r="D813">
        <f>[1]FINAL!M813</f>
        <v>0</v>
      </c>
    </row>
    <row r="814" spans="1:4" x14ac:dyDescent="0.3">
      <c r="A814">
        <f>[1]FINAL!A814</f>
        <v>0</v>
      </c>
      <c r="B814">
        <f>[1]FINAL!J814</f>
        <v>0</v>
      </c>
      <c r="C814">
        <f>[1]FINAL!K814</f>
        <v>0</v>
      </c>
      <c r="D814">
        <f>[1]FINAL!M814</f>
        <v>0</v>
      </c>
    </row>
    <row r="815" spans="1:4" x14ac:dyDescent="0.3">
      <c r="A815">
        <f>[1]FINAL!A815</f>
        <v>0</v>
      </c>
      <c r="B815">
        <f>[1]FINAL!J815</f>
        <v>0</v>
      </c>
      <c r="C815">
        <f>[1]FINAL!K815</f>
        <v>0</v>
      </c>
      <c r="D815">
        <f>[1]FINAL!M815</f>
        <v>0</v>
      </c>
    </row>
    <row r="816" spans="1:4" x14ac:dyDescent="0.3">
      <c r="A816">
        <f>[1]FINAL!A816</f>
        <v>0</v>
      </c>
      <c r="B816">
        <f>[1]FINAL!J816</f>
        <v>0</v>
      </c>
      <c r="C816">
        <f>[1]FINAL!K816</f>
        <v>0</v>
      </c>
      <c r="D816">
        <f>[1]FINAL!M816</f>
        <v>0</v>
      </c>
    </row>
    <row r="817" spans="1:4" x14ac:dyDescent="0.3">
      <c r="A817">
        <f>[1]FINAL!A817</f>
        <v>0</v>
      </c>
      <c r="B817">
        <f>[1]FINAL!J817</f>
        <v>0</v>
      </c>
      <c r="C817">
        <f>[1]FINAL!K817</f>
        <v>0</v>
      </c>
      <c r="D817">
        <f>[1]FINAL!M817</f>
        <v>0</v>
      </c>
    </row>
    <row r="818" spans="1:4" x14ac:dyDescent="0.3">
      <c r="A818">
        <f>[1]FINAL!A818</f>
        <v>0</v>
      </c>
      <c r="B818">
        <f>[1]FINAL!J818</f>
        <v>0</v>
      </c>
      <c r="C818">
        <f>[1]FINAL!K818</f>
        <v>0</v>
      </c>
      <c r="D818">
        <f>[1]FINAL!M818</f>
        <v>0</v>
      </c>
    </row>
    <row r="819" spans="1:4" x14ac:dyDescent="0.3">
      <c r="A819">
        <f>[1]FINAL!A819</f>
        <v>0</v>
      </c>
      <c r="B819">
        <f>[1]FINAL!J819</f>
        <v>0</v>
      </c>
      <c r="C819">
        <f>[1]FINAL!K819</f>
        <v>0</v>
      </c>
      <c r="D819">
        <f>[1]FINAL!M819</f>
        <v>0</v>
      </c>
    </row>
    <row r="820" spans="1:4" x14ac:dyDescent="0.3">
      <c r="A820">
        <f>[1]FINAL!A820</f>
        <v>0</v>
      </c>
      <c r="B820">
        <f>[1]FINAL!J820</f>
        <v>0</v>
      </c>
      <c r="C820">
        <f>[1]FINAL!K820</f>
        <v>0</v>
      </c>
      <c r="D820">
        <f>[1]FINAL!M820</f>
        <v>0</v>
      </c>
    </row>
    <row r="821" spans="1:4" x14ac:dyDescent="0.3">
      <c r="A821">
        <f>[1]FINAL!A821</f>
        <v>0</v>
      </c>
      <c r="B821">
        <f>[1]FINAL!J821</f>
        <v>0</v>
      </c>
      <c r="C821">
        <f>[1]FINAL!K821</f>
        <v>0</v>
      </c>
      <c r="D821">
        <f>[1]FINAL!M821</f>
        <v>0</v>
      </c>
    </row>
    <row r="822" spans="1:4" x14ac:dyDescent="0.3">
      <c r="A822">
        <f>[1]FINAL!A822</f>
        <v>0</v>
      </c>
      <c r="B822">
        <f>[1]FINAL!J822</f>
        <v>0</v>
      </c>
      <c r="C822">
        <f>[1]FINAL!K822</f>
        <v>0</v>
      </c>
      <c r="D822">
        <f>[1]FINAL!M822</f>
        <v>0</v>
      </c>
    </row>
    <row r="823" spans="1:4" x14ac:dyDescent="0.3">
      <c r="A823">
        <f>[1]FINAL!A823</f>
        <v>0</v>
      </c>
      <c r="B823">
        <f>[1]FINAL!J823</f>
        <v>0</v>
      </c>
      <c r="C823">
        <f>[1]FINAL!K823</f>
        <v>0</v>
      </c>
      <c r="D823">
        <f>[1]FINAL!M823</f>
        <v>0</v>
      </c>
    </row>
    <row r="824" spans="1:4" x14ac:dyDescent="0.3">
      <c r="A824">
        <f>[1]FINAL!A824</f>
        <v>0</v>
      </c>
      <c r="B824">
        <f>[1]FINAL!J824</f>
        <v>0</v>
      </c>
      <c r="C824">
        <f>[1]FINAL!K824</f>
        <v>0</v>
      </c>
      <c r="D824">
        <f>[1]FINAL!M824</f>
        <v>0</v>
      </c>
    </row>
    <row r="825" spans="1:4" x14ac:dyDescent="0.3">
      <c r="A825">
        <f>[1]FINAL!A825</f>
        <v>0</v>
      </c>
      <c r="B825">
        <f>[1]FINAL!J825</f>
        <v>0</v>
      </c>
      <c r="C825">
        <f>[1]FINAL!K825</f>
        <v>0</v>
      </c>
      <c r="D825">
        <f>[1]FINAL!M825</f>
        <v>0</v>
      </c>
    </row>
    <row r="826" spans="1:4" x14ac:dyDescent="0.3">
      <c r="A826">
        <f>[1]FINAL!A826</f>
        <v>0</v>
      </c>
      <c r="B826">
        <f>[1]FINAL!J826</f>
        <v>0</v>
      </c>
      <c r="C826">
        <f>[1]FINAL!K826</f>
        <v>0</v>
      </c>
      <c r="D826">
        <f>[1]FINAL!M826</f>
        <v>0</v>
      </c>
    </row>
    <row r="827" spans="1:4" x14ac:dyDescent="0.3">
      <c r="A827">
        <f>[1]FINAL!A827</f>
        <v>0</v>
      </c>
      <c r="B827">
        <f>[1]FINAL!J827</f>
        <v>0</v>
      </c>
      <c r="C827">
        <f>[1]FINAL!K827</f>
        <v>0</v>
      </c>
      <c r="D827">
        <f>[1]FINAL!M827</f>
        <v>0</v>
      </c>
    </row>
    <row r="828" spans="1:4" x14ac:dyDescent="0.3">
      <c r="A828">
        <f>[1]FINAL!A828</f>
        <v>0</v>
      </c>
      <c r="B828">
        <f>[1]FINAL!J828</f>
        <v>0</v>
      </c>
      <c r="C828">
        <f>[1]FINAL!K828</f>
        <v>0</v>
      </c>
      <c r="D828">
        <f>[1]FINAL!M828</f>
        <v>0</v>
      </c>
    </row>
    <row r="829" spans="1:4" x14ac:dyDescent="0.3">
      <c r="A829">
        <f>[1]FINAL!A829</f>
        <v>0</v>
      </c>
      <c r="B829">
        <f>[1]FINAL!J829</f>
        <v>0</v>
      </c>
      <c r="C829">
        <f>[1]FINAL!K829</f>
        <v>0</v>
      </c>
      <c r="D829">
        <f>[1]FINAL!M829</f>
        <v>0</v>
      </c>
    </row>
    <row r="830" spans="1:4" x14ac:dyDescent="0.3">
      <c r="A830">
        <f>[1]FINAL!A830</f>
        <v>0</v>
      </c>
      <c r="B830">
        <f>[1]FINAL!J830</f>
        <v>0</v>
      </c>
      <c r="C830">
        <f>[1]FINAL!K830</f>
        <v>0</v>
      </c>
      <c r="D830">
        <f>[1]FINAL!M830</f>
        <v>0</v>
      </c>
    </row>
    <row r="831" spans="1:4" x14ac:dyDescent="0.3">
      <c r="A831">
        <f>[1]FINAL!A831</f>
        <v>0</v>
      </c>
      <c r="B831">
        <f>[1]FINAL!J831</f>
        <v>0</v>
      </c>
      <c r="C831">
        <f>[1]FINAL!K831</f>
        <v>0</v>
      </c>
      <c r="D831">
        <f>[1]FINAL!M831</f>
        <v>0</v>
      </c>
    </row>
    <row r="832" spans="1:4" x14ac:dyDescent="0.3">
      <c r="A832">
        <f>[1]FINAL!A832</f>
        <v>0</v>
      </c>
      <c r="B832">
        <f>[1]FINAL!J832</f>
        <v>0</v>
      </c>
      <c r="C832">
        <f>[1]FINAL!K832</f>
        <v>0</v>
      </c>
      <c r="D832">
        <f>[1]FINAL!M832</f>
        <v>0</v>
      </c>
    </row>
    <row r="833" spans="1:4" x14ac:dyDescent="0.3">
      <c r="A833">
        <f>[1]FINAL!A833</f>
        <v>0</v>
      </c>
      <c r="B833">
        <f>[1]FINAL!J833</f>
        <v>0</v>
      </c>
      <c r="C833">
        <f>[1]FINAL!K833</f>
        <v>0</v>
      </c>
      <c r="D833">
        <f>[1]FINAL!M833</f>
        <v>0</v>
      </c>
    </row>
    <row r="834" spans="1:4" x14ac:dyDescent="0.3">
      <c r="A834">
        <f>[1]FINAL!A834</f>
        <v>0</v>
      </c>
      <c r="B834">
        <f>[1]FINAL!J834</f>
        <v>0</v>
      </c>
      <c r="C834">
        <f>[1]FINAL!K834</f>
        <v>0</v>
      </c>
      <c r="D834">
        <f>[1]FINAL!M834</f>
        <v>0</v>
      </c>
    </row>
    <row r="835" spans="1:4" x14ac:dyDescent="0.3">
      <c r="A835">
        <f>[1]FINAL!A835</f>
        <v>0</v>
      </c>
      <c r="B835">
        <f>[1]FINAL!J835</f>
        <v>0</v>
      </c>
      <c r="C835">
        <f>[1]FINAL!K835</f>
        <v>0</v>
      </c>
      <c r="D835">
        <f>[1]FINAL!M835</f>
        <v>0</v>
      </c>
    </row>
    <row r="836" spans="1:4" x14ac:dyDescent="0.3">
      <c r="A836">
        <f>[1]FINAL!A836</f>
        <v>0</v>
      </c>
      <c r="B836">
        <f>[1]FINAL!J836</f>
        <v>0</v>
      </c>
      <c r="C836">
        <f>[1]FINAL!K836</f>
        <v>0</v>
      </c>
      <c r="D836">
        <f>[1]FINAL!M836</f>
        <v>0</v>
      </c>
    </row>
    <row r="837" spans="1:4" x14ac:dyDescent="0.3">
      <c r="A837">
        <f>[1]FINAL!A837</f>
        <v>0</v>
      </c>
      <c r="B837">
        <f>[1]FINAL!J837</f>
        <v>0</v>
      </c>
      <c r="C837">
        <f>[1]FINAL!K837</f>
        <v>0</v>
      </c>
      <c r="D837">
        <f>[1]FINAL!M837</f>
        <v>0</v>
      </c>
    </row>
    <row r="838" spans="1:4" x14ac:dyDescent="0.3">
      <c r="A838">
        <f>[1]FINAL!A838</f>
        <v>0</v>
      </c>
      <c r="B838">
        <f>[1]FINAL!J838</f>
        <v>0</v>
      </c>
      <c r="C838">
        <f>[1]FINAL!K838</f>
        <v>0</v>
      </c>
      <c r="D838">
        <f>[1]FINAL!M838</f>
        <v>0</v>
      </c>
    </row>
    <row r="839" spans="1:4" x14ac:dyDescent="0.3">
      <c r="A839">
        <f>[1]FINAL!A839</f>
        <v>0</v>
      </c>
      <c r="B839">
        <f>[1]FINAL!J839</f>
        <v>0</v>
      </c>
      <c r="C839">
        <f>[1]FINAL!K839</f>
        <v>0</v>
      </c>
      <c r="D839">
        <f>[1]FINAL!M839</f>
        <v>0</v>
      </c>
    </row>
    <row r="840" spans="1:4" x14ac:dyDescent="0.3">
      <c r="A840">
        <f>[1]FINAL!A840</f>
        <v>0</v>
      </c>
      <c r="B840">
        <f>[1]FINAL!J840</f>
        <v>0</v>
      </c>
      <c r="C840">
        <f>[1]FINAL!K840</f>
        <v>0</v>
      </c>
      <c r="D840">
        <f>[1]FINAL!M840</f>
        <v>0</v>
      </c>
    </row>
    <row r="841" spans="1:4" x14ac:dyDescent="0.3">
      <c r="A841">
        <f>[1]FINAL!A841</f>
        <v>0</v>
      </c>
      <c r="B841">
        <f>[1]FINAL!J841</f>
        <v>0</v>
      </c>
      <c r="C841">
        <f>[1]FINAL!K841</f>
        <v>0</v>
      </c>
      <c r="D841">
        <f>[1]FINAL!M841</f>
        <v>0</v>
      </c>
    </row>
    <row r="842" spans="1:4" x14ac:dyDescent="0.3">
      <c r="A842">
        <f>[1]FINAL!A842</f>
        <v>0</v>
      </c>
      <c r="B842">
        <f>[1]FINAL!J842</f>
        <v>0</v>
      </c>
      <c r="C842">
        <f>[1]FINAL!K842</f>
        <v>0</v>
      </c>
      <c r="D842">
        <f>[1]FINAL!M842</f>
        <v>0</v>
      </c>
    </row>
    <row r="843" spans="1:4" x14ac:dyDescent="0.3">
      <c r="A843">
        <f>[1]FINAL!A843</f>
        <v>0</v>
      </c>
      <c r="B843">
        <f>[1]FINAL!J843</f>
        <v>0</v>
      </c>
      <c r="C843">
        <f>[1]FINAL!K843</f>
        <v>0</v>
      </c>
      <c r="D843">
        <f>[1]FINAL!M843</f>
        <v>0</v>
      </c>
    </row>
    <row r="844" spans="1:4" x14ac:dyDescent="0.3">
      <c r="A844">
        <f>[1]FINAL!A844</f>
        <v>0</v>
      </c>
      <c r="B844">
        <f>[1]FINAL!J844</f>
        <v>0</v>
      </c>
      <c r="C844">
        <f>[1]FINAL!K844</f>
        <v>0</v>
      </c>
      <c r="D844">
        <f>[1]FINAL!M844</f>
        <v>0</v>
      </c>
    </row>
    <row r="845" spans="1:4" x14ac:dyDescent="0.3">
      <c r="A845">
        <f>[1]FINAL!A845</f>
        <v>0</v>
      </c>
      <c r="B845">
        <f>[1]FINAL!J845</f>
        <v>0</v>
      </c>
      <c r="C845">
        <f>[1]FINAL!K845</f>
        <v>0</v>
      </c>
      <c r="D845">
        <f>[1]FINAL!M845</f>
        <v>0</v>
      </c>
    </row>
    <row r="846" spans="1:4" x14ac:dyDescent="0.3">
      <c r="A846">
        <f>[1]FINAL!A846</f>
        <v>0</v>
      </c>
      <c r="B846">
        <f>[1]FINAL!J846</f>
        <v>0</v>
      </c>
      <c r="C846">
        <f>[1]FINAL!K846</f>
        <v>0</v>
      </c>
      <c r="D846">
        <f>[1]FINAL!M846</f>
        <v>0</v>
      </c>
    </row>
    <row r="847" spans="1:4" x14ac:dyDescent="0.3">
      <c r="A847">
        <f>[1]FINAL!A847</f>
        <v>0</v>
      </c>
      <c r="B847">
        <f>[1]FINAL!J847</f>
        <v>0</v>
      </c>
      <c r="C847">
        <f>[1]FINAL!K847</f>
        <v>0</v>
      </c>
      <c r="D847">
        <f>[1]FINAL!M847</f>
        <v>0</v>
      </c>
    </row>
    <row r="848" spans="1:4" x14ac:dyDescent="0.3">
      <c r="A848">
        <f>[1]FINAL!A848</f>
        <v>0</v>
      </c>
      <c r="B848">
        <f>[1]FINAL!J848</f>
        <v>0</v>
      </c>
      <c r="C848">
        <f>[1]FINAL!K848</f>
        <v>0</v>
      </c>
      <c r="D848">
        <f>[1]FINAL!M848</f>
        <v>0</v>
      </c>
    </row>
    <row r="849" spans="1:4" x14ac:dyDescent="0.3">
      <c r="A849">
        <f>[1]FINAL!A849</f>
        <v>0</v>
      </c>
      <c r="B849">
        <f>[1]FINAL!J849</f>
        <v>0</v>
      </c>
      <c r="C849">
        <f>[1]FINAL!K849</f>
        <v>0</v>
      </c>
      <c r="D849">
        <f>[1]FINAL!M849</f>
        <v>0</v>
      </c>
    </row>
    <row r="850" spans="1:4" x14ac:dyDescent="0.3">
      <c r="A850">
        <f>[1]FINAL!A850</f>
        <v>0</v>
      </c>
      <c r="B850">
        <f>[1]FINAL!J850</f>
        <v>0</v>
      </c>
      <c r="C850">
        <f>[1]FINAL!K850</f>
        <v>0</v>
      </c>
      <c r="D850">
        <f>[1]FINAL!M850</f>
        <v>0</v>
      </c>
    </row>
    <row r="851" spans="1:4" x14ac:dyDescent="0.3">
      <c r="A851">
        <f>[1]FINAL!A851</f>
        <v>0</v>
      </c>
      <c r="B851">
        <f>[1]FINAL!J851</f>
        <v>0</v>
      </c>
      <c r="C851">
        <f>[1]FINAL!K851</f>
        <v>0</v>
      </c>
      <c r="D851">
        <f>[1]FINAL!M851</f>
        <v>0</v>
      </c>
    </row>
    <row r="852" spans="1:4" x14ac:dyDescent="0.3">
      <c r="A852">
        <f>[1]FINAL!A852</f>
        <v>0</v>
      </c>
      <c r="B852">
        <f>[1]FINAL!J852</f>
        <v>0</v>
      </c>
      <c r="C852">
        <f>[1]FINAL!K852</f>
        <v>0</v>
      </c>
      <c r="D852">
        <f>[1]FINAL!M852</f>
        <v>0</v>
      </c>
    </row>
    <row r="853" spans="1:4" x14ac:dyDescent="0.3">
      <c r="A853">
        <f>[1]FINAL!A853</f>
        <v>0</v>
      </c>
      <c r="B853">
        <f>[1]FINAL!J853</f>
        <v>0</v>
      </c>
      <c r="C853">
        <f>[1]FINAL!K853</f>
        <v>0</v>
      </c>
      <c r="D853">
        <f>[1]FINAL!M853</f>
        <v>0</v>
      </c>
    </row>
    <row r="854" spans="1:4" x14ac:dyDescent="0.3">
      <c r="A854">
        <f>[1]FINAL!A854</f>
        <v>0</v>
      </c>
      <c r="B854">
        <f>[1]FINAL!J854</f>
        <v>0</v>
      </c>
      <c r="C854">
        <f>[1]FINAL!K854</f>
        <v>0</v>
      </c>
      <c r="D854">
        <f>[1]FINAL!M854</f>
        <v>0</v>
      </c>
    </row>
    <row r="855" spans="1:4" x14ac:dyDescent="0.3">
      <c r="A855">
        <f>[1]FINAL!A855</f>
        <v>0</v>
      </c>
      <c r="B855">
        <f>[1]FINAL!J855</f>
        <v>0</v>
      </c>
      <c r="C855">
        <f>[1]FINAL!K855</f>
        <v>0</v>
      </c>
      <c r="D855">
        <f>[1]FINAL!M855</f>
        <v>0</v>
      </c>
    </row>
    <row r="856" spans="1:4" x14ac:dyDescent="0.3">
      <c r="A856">
        <f>[1]FINAL!A856</f>
        <v>0</v>
      </c>
      <c r="B856">
        <f>[1]FINAL!J856</f>
        <v>0</v>
      </c>
      <c r="C856">
        <f>[1]FINAL!K856</f>
        <v>0</v>
      </c>
      <c r="D856">
        <f>[1]FINAL!M856</f>
        <v>0</v>
      </c>
    </row>
    <row r="857" spans="1:4" x14ac:dyDescent="0.3">
      <c r="A857">
        <f>[1]FINAL!A857</f>
        <v>0</v>
      </c>
      <c r="B857">
        <f>[1]FINAL!J857</f>
        <v>0</v>
      </c>
      <c r="C857">
        <f>[1]FINAL!K857</f>
        <v>0</v>
      </c>
      <c r="D857">
        <f>[1]FINAL!M857</f>
        <v>0</v>
      </c>
    </row>
    <row r="858" spans="1:4" x14ac:dyDescent="0.3">
      <c r="A858">
        <f>[1]FINAL!A858</f>
        <v>0</v>
      </c>
      <c r="B858">
        <f>[1]FINAL!J858</f>
        <v>0</v>
      </c>
      <c r="C858">
        <f>[1]FINAL!K858</f>
        <v>0</v>
      </c>
      <c r="D858">
        <f>[1]FINAL!M858</f>
        <v>0</v>
      </c>
    </row>
    <row r="859" spans="1:4" x14ac:dyDescent="0.3">
      <c r="A859">
        <f>[1]FINAL!A859</f>
        <v>0</v>
      </c>
      <c r="B859">
        <f>[1]FINAL!J859</f>
        <v>0</v>
      </c>
      <c r="C859">
        <f>[1]FINAL!K859</f>
        <v>0</v>
      </c>
      <c r="D859">
        <f>[1]FINAL!M859</f>
        <v>0</v>
      </c>
    </row>
    <row r="860" spans="1:4" x14ac:dyDescent="0.3">
      <c r="A860">
        <f>[1]FINAL!A860</f>
        <v>0</v>
      </c>
      <c r="B860">
        <f>[1]FINAL!J860</f>
        <v>0</v>
      </c>
      <c r="C860">
        <f>[1]FINAL!K860</f>
        <v>0</v>
      </c>
      <c r="D860">
        <f>[1]FINAL!M860</f>
        <v>0</v>
      </c>
    </row>
    <row r="861" spans="1:4" x14ac:dyDescent="0.3">
      <c r="A861">
        <f>[1]FINAL!A861</f>
        <v>0</v>
      </c>
      <c r="B861">
        <f>[1]FINAL!J861</f>
        <v>0</v>
      </c>
      <c r="C861">
        <f>[1]FINAL!K861</f>
        <v>0</v>
      </c>
      <c r="D861">
        <f>[1]FINAL!M861</f>
        <v>0</v>
      </c>
    </row>
    <row r="862" spans="1:4" x14ac:dyDescent="0.3">
      <c r="A862">
        <f>[1]FINAL!A862</f>
        <v>0</v>
      </c>
      <c r="B862">
        <f>[1]FINAL!J862</f>
        <v>0</v>
      </c>
      <c r="C862">
        <f>[1]FINAL!K862</f>
        <v>0</v>
      </c>
      <c r="D862">
        <f>[1]FINAL!M862</f>
        <v>0</v>
      </c>
    </row>
    <row r="863" spans="1:4" x14ac:dyDescent="0.3">
      <c r="A863">
        <f>[1]FINAL!A863</f>
        <v>0</v>
      </c>
      <c r="B863">
        <f>[1]FINAL!J863</f>
        <v>0</v>
      </c>
      <c r="C863">
        <f>[1]FINAL!K863</f>
        <v>0</v>
      </c>
      <c r="D863">
        <f>[1]FINAL!M863</f>
        <v>0</v>
      </c>
    </row>
    <row r="864" spans="1:4" x14ac:dyDescent="0.3">
      <c r="A864">
        <f>[1]FINAL!A864</f>
        <v>0</v>
      </c>
      <c r="B864">
        <f>[1]FINAL!J864</f>
        <v>0</v>
      </c>
      <c r="C864">
        <f>[1]FINAL!K864</f>
        <v>0</v>
      </c>
      <c r="D864">
        <f>[1]FINAL!M864</f>
        <v>0</v>
      </c>
    </row>
    <row r="865" spans="1:4" x14ac:dyDescent="0.3">
      <c r="A865">
        <f>[1]FINAL!A865</f>
        <v>0</v>
      </c>
      <c r="B865">
        <f>[1]FINAL!J865</f>
        <v>0</v>
      </c>
      <c r="C865">
        <f>[1]FINAL!K865</f>
        <v>0</v>
      </c>
      <c r="D865">
        <f>[1]FINAL!M865</f>
        <v>0</v>
      </c>
    </row>
    <row r="866" spans="1:4" x14ac:dyDescent="0.3">
      <c r="A866">
        <f>[1]FINAL!A866</f>
        <v>0</v>
      </c>
      <c r="B866">
        <f>[1]FINAL!J866</f>
        <v>0</v>
      </c>
      <c r="C866">
        <f>[1]FINAL!K866</f>
        <v>0</v>
      </c>
      <c r="D866">
        <f>[1]FINAL!M866</f>
        <v>0</v>
      </c>
    </row>
    <row r="867" spans="1:4" x14ac:dyDescent="0.3">
      <c r="A867">
        <f>[1]FINAL!A867</f>
        <v>0</v>
      </c>
      <c r="B867">
        <f>[1]FINAL!J867</f>
        <v>0</v>
      </c>
      <c r="C867">
        <f>[1]FINAL!K867</f>
        <v>0</v>
      </c>
      <c r="D867">
        <f>[1]FINAL!M867</f>
        <v>0</v>
      </c>
    </row>
    <row r="868" spans="1:4" x14ac:dyDescent="0.3">
      <c r="A868">
        <f>[1]FINAL!A868</f>
        <v>0</v>
      </c>
      <c r="B868">
        <f>[1]FINAL!J868</f>
        <v>0</v>
      </c>
      <c r="C868">
        <f>[1]FINAL!K868</f>
        <v>0</v>
      </c>
      <c r="D868">
        <f>[1]FINAL!M868</f>
        <v>0</v>
      </c>
    </row>
    <row r="869" spans="1:4" x14ac:dyDescent="0.3">
      <c r="A869">
        <f>[1]FINAL!A869</f>
        <v>0</v>
      </c>
      <c r="B869">
        <f>[1]FINAL!J869</f>
        <v>0</v>
      </c>
      <c r="C869">
        <f>[1]FINAL!K869</f>
        <v>0</v>
      </c>
      <c r="D869">
        <f>[1]FINAL!M869</f>
        <v>0</v>
      </c>
    </row>
    <row r="870" spans="1:4" x14ac:dyDescent="0.3">
      <c r="A870">
        <f>[1]FINAL!A870</f>
        <v>0</v>
      </c>
      <c r="B870">
        <f>[1]FINAL!J870</f>
        <v>0</v>
      </c>
      <c r="C870">
        <f>[1]FINAL!K870</f>
        <v>0</v>
      </c>
      <c r="D870">
        <f>[1]FINAL!M870</f>
        <v>0</v>
      </c>
    </row>
    <row r="871" spans="1:4" x14ac:dyDescent="0.3">
      <c r="A871">
        <f>[1]FINAL!A871</f>
        <v>0</v>
      </c>
      <c r="B871">
        <f>[1]FINAL!J871</f>
        <v>0</v>
      </c>
      <c r="C871">
        <f>[1]FINAL!K871</f>
        <v>0</v>
      </c>
      <c r="D871">
        <f>[1]FINAL!M871</f>
        <v>0</v>
      </c>
    </row>
    <row r="872" spans="1:4" x14ac:dyDescent="0.3">
      <c r="A872">
        <f>[1]FINAL!A872</f>
        <v>0</v>
      </c>
      <c r="B872">
        <f>[1]FINAL!J872</f>
        <v>0</v>
      </c>
      <c r="C872">
        <f>[1]FINAL!K872</f>
        <v>0</v>
      </c>
      <c r="D872">
        <f>[1]FINAL!M872</f>
        <v>0</v>
      </c>
    </row>
    <row r="873" spans="1:4" x14ac:dyDescent="0.3">
      <c r="A873">
        <f>[1]FINAL!A873</f>
        <v>0</v>
      </c>
      <c r="B873">
        <f>[1]FINAL!J873</f>
        <v>0</v>
      </c>
      <c r="C873">
        <f>[1]FINAL!K873</f>
        <v>0</v>
      </c>
      <c r="D873">
        <f>[1]FINAL!M873</f>
        <v>0</v>
      </c>
    </row>
    <row r="874" spans="1:4" x14ac:dyDescent="0.3">
      <c r="A874">
        <f>[1]FINAL!A874</f>
        <v>0</v>
      </c>
      <c r="B874">
        <f>[1]FINAL!J874</f>
        <v>0</v>
      </c>
      <c r="C874">
        <f>[1]FINAL!K874</f>
        <v>0</v>
      </c>
      <c r="D874">
        <f>[1]FINAL!M874</f>
        <v>0</v>
      </c>
    </row>
    <row r="875" spans="1:4" x14ac:dyDescent="0.3">
      <c r="A875">
        <f>[1]FINAL!A875</f>
        <v>0</v>
      </c>
      <c r="B875">
        <f>[1]FINAL!J875</f>
        <v>0</v>
      </c>
      <c r="C875">
        <f>[1]FINAL!K875</f>
        <v>0</v>
      </c>
      <c r="D875">
        <f>[1]FINAL!M875</f>
        <v>0</v>
      </c>
    </row>
    <row r="876" spans="1:4" x14ac:dyDescent="0.3">
      <c r="A876">
        <f>[1]FINAL!A876</f>
        <v>0</v>
      </c>
      <c r="B876">
        <f>[1]FINAL!J876</f>
        <v>0</v>
      </c>
      <c r="C876">
        <f>[1]FINAL!K876</f>
        <v>0</v>
      </c>
      <c r="D876">
        <f>[1]FINAL!M876</f>
        <v>0</v>
      </c>
    </row>
    <row r="877" spans="1:4" x14ac:dyDescent="0.3">
      <c r="A877">
        <f>[1]FINAL!A877</f>
        <v>0</v>
      </c>
      <c r="B877">
        <f>[1]FINAL!J877</f>
        <v>0</v>
      </c>
      <c r="C877">
        <f>[1]FINAL!K877</f>
        <v>0</v>
      </c>
      <c r="D877">
        <f>[1]FINAL!M877</f>
        <v>0</v>
      </c>
    </row>
    <row r="878" spans="1:4" x14ac:dyDescent="0.3">
      <c r="A878">
        <f>[1]FINAL!A878</f>
        <v>0</v>
      </c>
      <c r="B878">
        <f>[1]FINAL!J878</f>
        <v>0</v>
      </c>
      <c r="C878">
        <f>[1]FINAL!K878</f>
        <v>0</v>
      </c>
      <c r="D878">
        <f>[1]FINAL!M878</f>
        <v>0</v>
      </c>
    </row>
    <row r="879" spans="1:4" x14ac:dyDescent="0.3">
      <c r="A879">
        <f>[1]FINAL!A879</f>
        <v>0</v>
      </c>
      <c r="B879">
        <f>[1]FINAL!J879</f>
        <v>0</v>
      </c>
      <c r="C879">
        <f>[1]FINAL!K879</f>
        <v>0</v>
      </c>
      <c r="D879">
        <f>[1]FINAL!M879</f>
        <v>0</v>
      </c>
    </row>
    <row r="880" spans="1:4" x14ac:dyDescent="0.3">
      <c r="A880">
        <f>[1]FINAL!A880</f>
        <v>0</v>
      </c>
      <c r="B880">
        <f>[1]FINAL!J880</f>
        <v>0</v>
      </c>
      <c r="C880">
        <f>[1]FINAL!K880</f>
        <v>0</v>
      </c>
      <c r="D880">
        <f>[1]FINAL!M880</f>
        <v>0</v>
      </c>
    </row>
    <row r="881" spans="1:4" x14ac:dyDescent="0.3">
      <c r="A881">
        <f>[1]FINAL!A881</f>
        <v>0</v>
      </c>
      <c r="B881">
        <f>[1]FINAL!J881</f>
        <v>0</v>
      </c>
      <c r="C881">
        <f>[1]FINAL!K881</f>
        <v>0</v>
      </c>
      <c r="D881">
        <f>[1]FINAL!M881</f>
        <v>0</v>
      </c>
    </row>
    <row r="882" spans="1:4" x14ac:dyDescent="0.3">
      <c r="A882">
        <f>[1]FINAL!A882</f>
        <v>0</v>
      </c>
      <c r="B882">
        <f>[1]FINAL!J882</f>
        <v>0</v>
      </c>
      <c r="C882">
        <f>[1]FINAL!K882</f>
        <v>0</v>
      </c>
      <c r="D882">
        <f>[1]FINAL!M882</f>
        <v>0</v>
      </c>
    </row>
    <row r="883" spans="1:4" x14ac:dyDescent="0.3">
      <c r="A883">
        <f>[1]FINAL!A883</f>
        <v>0</v>
      </c>
      <c r="B883">
        <f>[1]FINAL!J883</f>
        <v>0</v>
      </c>
      <c r="C883">
        <f>[1]FINAL!K883</f>
        <v>0</v>
      </c>
      <c r="D883">
        <f>[1]FINAL!M883</f>
        <v>0</v>
      </c>
    </row>
    <row r="884" spans="1:4" x14ac:dyDescent="0.3">
      <c r="A884">
        <f>[1]FINAL!A884</f>
        <v>0</v>
      </c>
      <c r="B884">
        <f>[1]FINAL!J884</f>
        <v>0</v>
      </c>
      <c r="C884">
        <f>[1]FINAL!K884</f>
        <v>0</v>
      </c>
      <c r="D884">
        <f>[1]FINAL!M884</f>
        <v>0</v>
      </c>
    </row>
    <row r="885" spans="1:4" x14ac:dyDescent="0.3">
      <c r="A885">
        <f>[1]FINAL!A885</f>
        <v>0</v>
      </c>
      <c r="B885">
        <f>[1]FINAL!J885</f>
        <v>0</v>
      </c>
      <c r="C885">
        <f>[1]FINAL!K885</f>
        <v>0</v>
      </c>
      <c r="D885">
        <f>[1]FINAL!M885</f>
        <v>0</v>
      </c>
    </row>
    <row r="886" spans="1:4" x14ac:dyDescent="0.3">
      <c r="A886">
        <f>[1]FINAL!A886</f>
        <v>0</v>
      </c>
      <c r="B886">
        <f>[1]FINAL!J886</f>
        <v>0</v>
      </c>
      <c r="C886">
        <f>[1]FINAL!K886</f>
        <v>0</v>
      </c>
      <c r="D886">
        <f>[1]FINAL!M886</f>
        <v>0</v>
      </c>
    </row>
    <row r="887" spans="1:4" x14ac:dyDescent="0.3">
      <c r="A887">
        <f>[1]FINAL!A887</f>
        <v>0</v>
      </c>
      <c r="B887">
        <f>[1]FINAL!J887</f>
        <v>0</v>
      </c>
      <c r="C887">
        <f>[1]FINAL!K887</f>
        <v>0</v>
      </c>
      <c r="D887">
        <f>[1]FINAL!M887</f>
        <v>0</v>
      </c>
    </row>
    <row r="888" spans="1:4" x14ac:dyDescent="0.3">
      <c r="A888">
        <f>[1]FINAL!A888</f>
        <v>0</v>
      </c>
      <c r="B888">
        <f>[1]FINAL!J888</f>
        <v>0</v>
      </c>
      <c r="C888">
        <f>[1]FINAL!K888</f>
        <v>0</v>
      </c>
      <c r="D888">
        <f>[1]FINAL!M888</f>
        <v>0</v>
      </c>
    </row>
    <row r="889" spans="1:4" x14ac:dyDescent="0.3">
      <c r="A889">
        <f>[1]FINAL!A889</f>
        <v>0</v>
      </c>
      <c r="B889">
        <f>[1]FINAL!J889</f>
        <v>0</v>
      </c>
      <c r="C889">
        <f>[1]FINAL!K889</f>
        <v>0</v>
      </c>
      <c r="D889">
        <f>[1]FINAL!M889</f>
        <v>0</v>
      </c>
    </row>
    <row r="890" spans="1:4" x14ac:dyDescent="0.3">
      <c r="A890">
        <f>[1]FINAL!A890</f>
        <v>0</v>
      </c>
      <c r="B890">
        <f>[1]FINAL!J890</f>
        <v>0</v>
      </c>
      <c r="C890">
        <f>[1]FINAL!K890</f>
        <v>0</v>
      </c>
      <c r="D890">
        <f>[1]FINAL!M890</f>
        <v>0</v>
      </c>
    </row>
    <row r="891" spans="1:4" x14ac:dyDescent="0.3">
      <c r="A891">
        <f>[1]FINAL!A891</f>
        <v>0</v>
      </c>
      <c r="B891">
        <f>[1]FINAL!J891</f>
        <v>0</v>
      </c>
      <c r="C891">
        <f>[1]FINAL!K891</f>
        <v>0</v>
      </c>
      <c r="D891">
        <f>[1]FINAL!M891</f>
        <v>0</v>
      </c>
    </row>
    <row r="892" spans="1:4" x14ac:dyDescent="0.3">
      <c r="A892">
        <f>[1]FINAL!A892</f>
        <v>0</v>
      </c>
      <c r="B892">
        <f>[1]FINAL!J892</f>
        <v>0</v>
      </c>
      <c r="C892">
        <f>[1]FINAL!K892</f>
        <v>0</v>
      </c>
      <c r="D892">
        <f>[1]FINAL!M892</f>
        <v>0</v>
      </c>
    </row>
    <row r="893" spans="1:4" x14ac:dyDescent="0.3">
      <c r="A893">
        <f>[1]FINAL!A893</f>
        <v>0</v>
      </c>
      <c r="B893">
        <f>[1]FINAL!J893</f>
        <v>0</v>
      </c>
      <c r="C893">
        <f>[1]FINAL!K893</f>
        <v>0</v>
      </c>
      <c r="D893">
        <f>[1]FINAL!M893</f>
        <v>0</v>
      </c>
    </row>
    <row r="894" spans="1:4" x14ac:dyDescent="0.3">
      <c r="A894">
        <f>[1]FINAL!A894</f>
        <v>0</v>
      </c>
      <c r="B894">
        <f>[1]FINAL!J894</f>
        <v>0</v>
      </c>
      <c r="C894">
        <f>[1]FINAL!K894</f>
        <v>0</v>
      </c>
      <c r="D894">
        <f>[1]FINAL!M894</f>
        <v>0</v>
      </c>
    </row>
    <row r="895" spans="1:4" x14ac:dyDescent="0.3">
      <c r="A895">
        <f>[1]FINAL!A895</f>
        <v>0</v>
      </c>
      <c r="B895">
        <f>[1]FINAL!J895</f>
        <v>0</v>
      </c>
      <c r="C895">
        <f>[1]FINAL!K895</f>
        <v>0</v>
      </c>
      <c r="D895">
        <f>[1]FINAL!M895</f>
        <v>0</v>
      </c>
    </row>
    <row r="896" spans="1:4" x14ac:dyDescent="0.3">
      <c r="A896">
        <f>[1]FINAL!A896</f>
        <v>0</v>
      </c>
      <c r="B896">
        <f>[1]FINAL!J896</f>
        <v>0</v>
      </c>
      <c r="C896">
        <f>[1]FINAL!K896</f>
        <v>0</v>
      </c>
      <c r="D896">
        <f>[1]FINAL!M896</f>
        <v>0</v>
      </c>
    </row>
    <row r="897" spans="1:4" x14ac:dyDescent="0.3">
      <c r="A897">
        <f>[1]FINAL!A897</f>
        <v>0</v>
      </c>
      <c r="B897">
        <f>[1]FINAL!J897</f>
        <v>0</v>
      </c>
      <c r="C897">
        <f>[1]FINAL!K897</f>
        <v>0</v>
      </c>
      <c r="D897">
        <f>[1]FINAL!M897</f>
        <v>0</v>
      </c>
    </row>
    <row r="898" spans="1:4" x14ac:dyDescent="0.3">
      <c r="A898">
        <f>[1]FINAL!A898</f>
        <v>0</v>
      </c>
      <c r="B898">
        <f>[1]FINAL!J898</f>
        <v>0</v>
      </c>
      <c r="C898">
        <f>[1]FINAL!K898</f>
        <v>0</v>
      </c>
      <c r="D898">
        <f>[1]FINAL!M898</f>
        <v>0</v>
      </c>
    </row>
    <row r="899" spans="1:4" x14ac:dyDescent="0.3">
      <c r="A899">
        <f>[1]FINAL!A899</f>
        <v>0</v>
      </c>
      <c r="B899">
        <f>[1]FINAL!J899</f>
        <v>0</v>
      </c>
      <c r="C899">
        <f>[1]FINAL!K899</f>
        <v>0</v>
      </c>
      <c r="D899">
        <f>[1]FINAL!M899</f>
        <v>0</v>
      </c>
    </row>
    <row r="900" spans="1:4" x14ac:dyDescent="0.3">
      <c r="A900">
        <f>[1]FINAL!A900</f>
        <v>0</v>
      </c>
      <c r="B900">
        <f>[1]FINAL!J900</f>
        <v>0</v>
      </c>
      <c r="C900">
        <f>[1]FINAL!K900</f>
        <v>0</v>
      </c>
      <c r="D900">
        <f>[1]FINAL!M900</f>
        <v>0</v>
      </c>
    </row>
    <row r="901" spans="1:4" x14ac:dyDescent="0.3">
      <c r="A901">
        <f>[1]FINAL!A901</f>
        <v>0</v>
      </c>
      <c r="B901">
        <f>[1]FINAL!J901</f>
        <v>0</v>
      </c>
      <c r="C901">
        <f>[1]FINAL!K901</f>
        <v>0</v>
      </c>
      <c r="D901">
        <f>[1]FINAL!M901</f>
        <v>0</v>
      </c>
    </row>
    <row r="902" spans="1:4" x14ac:dyDescent="0.3">
      <c r="A902">
        <f>[1]FINAL!A902</f>
        <v>0</v>
      </c>
      <c r="B902">
        <f>[1]FINAL!J902</f>
        <v>0</v>
      </c>
      <c r="C902">
        <f>[1]FINAL!K902</f>
        <v>0</v>
      </c>
      <c r="D902">
        <f>[1]FINAL!M902</f>
        <v>0</v>
      </c>
    </row>
    <row r="903" spans="1:4" x14ac:dyDescent="0.3">
      <c r="A903">
        <f>[1]FINAL!A903</f>
        <v>0</v>
      </c>
      <c r="B903">
        <f>[1]FINAL!J903</f>
        <v>0</v>
      </c>
      <c r="C903">
        <f>[1]FINAL!K903</f>
        <v>0</v>
      </c>
      <c r="D903">
        <f>[1]FINAL!M903</f>
        <v>0</v>
      </c>
    </row>
    <row r="904" spans="1:4" x14ac:dyDescent="0.3">
      <c r="A904">
        <f>[1]FINAL!A904</f>
        <v>0</v>
      </c>
      <c r="B904">
        <f>[1]FINAL!J904</f>
        <v>0</v>
      </c>
      <c r="C904">
        <f>[1]FINAL!K904</f>
        <v>0</v>
      </c>
      <c r="D904">
        <f>[1]FINAL!M904</f>
        <v>0</v>
      </c>
    </row>
    <row r="905" spans="1:4" x14ac:dyDescent="0.3">
      <c r="A905">
        <f>[1]FINAL!A905</f>
        <v>0</v>
      </c>
      <c r="B905">
        <f>[1]FINAL!J905</f>
        <v>0</v>
      </c>
      <c r="C905">
        <f>[1]FINAL!K905</f>
        <v>0</v>
      </c>
      <c r="D905">
        <f>[1]FINAL!M905</f>
        <v>0</v>
      </c>
    </row>
    <row r="906" spans="1:4" x14ac:dyDescent="0.3">
      <c r="A906">
        <f>[1]FINAL!A906</f>
        <v>0</v>
      </c>
      <c r="B906">
        <f>[1]FINAL!J906</f>
        <v>0</v>
      </c>
      <c r="C906">
        <f>[1]FINAL!K906</f>
        <v>0</v>
      </c>
      <c r="D906">
        <f>[1]FINAL!M906</f>
        <v>0</v>
      </c>
    </row>
    <row r="907" spans="1:4" x14ac:dyDescent="0.3">
      <c r="A907">
        <f>[1]FINAL!A907</f>
        <v>0</v>
      </c>
      <c r="B907">
        <f>[1]FINAL!J907</f>
        <v>0</v>
      </c>
      <c r="C907">
        <f>[1]FINAL!K907</f>
        <v>0</v>
      </c>
      <c r="D907">
        <f>[1]FINAL!M907</f>
        <v>0</v>
      </c>
    </row>
    <row r="908" spans="1:4" x14ac:dyDescent="0.3">
      <c r="A908">
        <f>[1]FINAL!A908</f>
        <v>0</v>
      </c>
      <c r="B908">
        <f>[1]FINAL!J908</f>
        <v>0</v>
      </c>
      <c r="C908">
        <f>[1]FINAL!K908</f>
        <v>0</v>
      </c>
      <c r="D908">
        <f>[1]FINAL!M908</f>
        <v>0</v>
      </c>
    </row>
    <row r="909" spans="1:4" x14ac:dyDescent="0.3">
      <c r="A909">
        <f>[1]FINAL!A909</f>
        <v>0</v>
      </c>
      <c r="B909">
        <f>[1]FINAL!J909</f>
        <v>0</v>
      </c>
      <c r="C909">
        <f>[1]FINAL!K909</f>
        <v>0</v>
      </c>
      <c r="D909">
        <f>[1]FINAL!M909</f>
        <v>0</v>
      </c>
    </row>
    <row r="910" spans="1:4" x14ac:dyDescent="0.3">
      <c r="A910">
        <f>[1]FINAL!A910</f>
        <v>0</v>
      </c>
      <c r="B910">
        <f>[1]FINAL!J910</f>
        <v>0</v>
      </c>
      <c r="C910">
        <f>[1]FINAL!K910</f>
        <v>0</v>
      </c>
      <c r="D910">
        <f>[1]FINAL!M910</f>
        <v>0</v>
      </c>
    </row>
    <row r="911" spans="1:4" x14ac:dyDescent="0.3">
      <c r="A911">
        <f>[1]FINAL!A911</f>
        <v>0</v>
      </c>
      <c r="B911">
        <f>[1]FINAL!J911</f>
        <v>0</v>
      </c>
      <c r="C911">
        <f>[1]FINAL!K911</f>
        <v>0</v>
      </c>
      <c r="D911">
        <f>[1]FINAL!M911</f>
        <v>0</v>
      </c>
    </row>
    <row r="912" spans="1:4" x14ac:dyDescent="0.3">
      <c r="A912">
        <f>[1]FINAL!A912</f>
        <v>0</v>
      </c>
      <c r="B912">
        <f>[1]FINAL!J912</f>
        <v>0</v>
      </c>
      <c r="C912">
        <f>[1]FINAL!K912</f>
        <v>0</v>
      </c>
      <c r="D912">
        <f>[1]FINAL!M912</f>
        <v>0</v>
      </c>
    </row>
    <row r="913" spans="1:4" x14ac:dyDescent="0.3">
      <c r="A913">
        <f>[1]FINAL!A913</f>
        <v>0</v>
      </c>
      <c r="B913">
        <f>[1]FINAL!J913</f>
        <v>0</v>
      </c>
      <c r="C913">
        <f>[1]FINAL!K913</f>
        <v>0</v>
      </c>
      <c r="D913">
        <f>[1]FINAL!M913</f>
        <v>0</v>
      </c>
    </row>
    <row r="914" spans="1:4" x14ac:dyDescent="0.3">
      <c r="A914">
        <f>[1]FINAL!A914</f>
        <v>0</v>
      </c>
      <c r="B914">
        <f>[1]FINAL!J914</f>
        <v>0</v>
      </c>
      <c r="C914">
        <f>[1]FINAL!K914</f>
        <v>0</v>
      </c>
      <c r="D914">
        <f>[1]FINAL!M914</f>
        <v>0</v>
      </c>
    </row>
    <row r="915" spans="1:4" x14ac:dyDescent="0.3">
      <c r="A915">
        <f>[1]FINAL!A915</f>
        <v>0</v>
      </c>
      <c r="B915">
        <f>[1]FINAL!J915</f>
        <v>0</v>
      </c>
      <c r="C915">
        <f>[1]FINAL!K915</f>
        <v>0</v>
      </c>
      <c r="D915">
        <f>[1]FINAL!M915</f>
        <v>0</v>
      </c>
    </row>
    <row r="916" spans="1:4" x14ac:dyDescent="0.3">
      <c r="A916">
        <f>[1]FINAL!A916</f>
        <v>0</v>
      </c>
      <c r="B916">
        <f>[1]FINAL!J916</f>
        <v>0</v>
      </c>
      <c r="C916">
        <f>[1]FINAL!K916</f>
        <v>0</v>
      </c>
      <c r="D916">
        <f>[1]FINAL!M916</f>
        <v>0</v>
      </c>
    </row>
    <row r="917" spans="1:4" x14ac:dyDescent="0.3">
      <c r="A917">
        <f>[1]FINAL!A917</f>
        <v>0</v>
      </c>
      <c r="B917">
        <f>[1]FINAL!J917</f>
        <v>0</v>
      </c>
      <c r="C917">
        <f>[1]FINAL!K917</f>
        <v>0</v>
      </c>
      <c r="D917">
        <f>[1]FINAL!M917</f>
        <v>0</v>
      </c>
    </row>
    <row r="918" spans="1:4" x14ac:dyDescent="0.3">
      <c r="A918">
        <f>[1]FINAL!A918</f>
        <v>0</v>
      </c>
      <c r="B918">
        <f>[1]FINAL!J918</f>
        <v>0</v>
      </c>
      <c r="C918">
        <f>[1]FINAL!K918</f>
        <v>0</v>
      </c>
      <c r="D918">
        <f>[1]FINAL!M918</f>
        <v>0</v>
      </c>
    </row>
    <row r="919" spans="1:4" x14ac:dyDescent="0.3">
      <c r="A919">
        <f>[1]FINAL!A919</f>
        <v>0</v>
      </c>
      <c r="B919">
        <f>[1]FINAL!J919</f>
        <v>0</v>
      </c>
      <c r="C919">
        <f>[1]FINAL!K919</f>
        <v>0</v>
      </c>
      <c r="D919">
        <f>[1]FINAL!M919</f>
        <v>0</v>
      </c>
    </row>
    <row r="920" spans="1:4" x14ac:dyDescent="0.3">
      <c r="A920">
        <f>[1]FINAL!A920</f>
        <v>0</v>
      </c>
      <c r="B920">
        <f>[1]FINAL!J920</f>
        <v>0</v>
      </c>
      <c r="C920">
        <f>[1]FINAL!K920</f>
        <v>0</v>
      </c>
      <c r="D920">
        <f>[1]FINAL!M920</f>
        <v>0</v>
      </c>
    </row>
    <row r="921" spans="1:4" x14ac:dyDescent="0.3">
      <c r="A921">
        <f>[1]FINAL!A921</f>
        <v>0</v>
      </c>
      <c r="B921">
        <f>[1]FINAL!J921</f>
        <v>0</v>
      </c>
      <c r="C921">
        <f>[1]FINAL!K921</f>
        <v>0</v>
      </c>
      <c r="D921">
        <f>[1]FINAL!M921</f>
        <v>0</v>
      </c>
    </row>
    <row r="922" spans="1:4" x14ac:dyDescent="0.3">
      <c r="A922">
        <f>[1]FINAL!A922</f>
        <v>0</v>
      </c>
      <c r="B922">
        <f>[1]FINAL!J922</f>
        <v>0</v>
      </c>
      <c r="C922">
        <f>[1]FINAL!K922</f>
        <v>0</v>
      </c>
      <c r="D922">
        <f>[1]FINAL!M922</f>
        <v>0</v>
      </c>
    </row>
    <row r="923" spans="1:4" x14ac:dyDescent="0.3">
      <c r="A923">
        <f>[1]FINAL!A923</f>
        <v>0</v>
      </c>
      <c r="B923">
        <f>[1]FINAL!J923</f>
        <v>0</v>
      </c>
      <c r="C923">
        <f>[1]FINAL!K923</f>
        <v>0</v>
      </c>
      <c r="D923">
        <f>[1]FINAL!M923</f>
        <v>0</v>
      </c>
    </row>
    <row r="924" spans="1:4" x14ac:dyDescent="0.3">
      <c r="A924">
        <f>[1]FINAL!A924</f>
        <v>0</v>
      </c>
      <c r="B924">
        <f>[1]FINAL!J924</f>
        <v>0</v>
      </c>
      <c r="C924">
        <f>[1]FINAL!K924</f>
        <v>0</v>
      </c>
      <c r="D924">
        <f>[1]FINAL!M924</f>
        <v>0</v>
      </c>
    </row>
    <row r="925" spans="1:4" x14ac:dyDescent="0.3">
      <c r="A925">
        <f>[1]FINAL!A925</f>
        <v>0</v>
      </c>
      <c r="B925">
        <f>[1]FINAL!J925</f>
        <v>0</v>
      </c>
      <c r="C925">
        <f>[1]FINAL!K925</f>
        <v>0</v>
      </c>
      <c r="D925">
        <f>[1]FINAL!M925</f>
        <v>0</v>
      </c>
    </row>
    <row r="926" spans="1:4" x14ac:dyDescent="0.3">
      <c r="A926">
        <f>[1]FINAL!A926</f>
        <v>0</v>
      </c>
      <c r="B926">
        <f>[1]FINAL!J926</f>
        <v>0</v>
      </c>
      <c r="C926">
        <f>[1]FINAL!K926</f>
        <v>0</v>
      </c>
      <c r="D926">
        <f>[1]FINAL!M926</f>
        <v>0</v>
      </c>
    </row>
    <row r="927" spans="1:4" x14ac:dyDescent="0.3">
      <c r="A927">
        <f>[1]FINAL!A927</f>
        <v>0</v>
      </c>
      <c r="B927">
        <f>[1]FINAL!J927</f>
        <v>0</v>
      </c>
      <c r="C927">
        <f>[1]FINAL!K927</f>
        <v>0</v>
      </c>
      <c r="D927">
        <f>[1]FINAL!M927</f>
        <v>0</v>
      </c>
    </row>
    <row r="928" spans="1:4" x14ac:dyDescent="0.3">
      <c r="A928">
        <f>[1]FINAL!A928</f>
        <v>0</v>
      </c>
      <c r="B928">
        <f>[1]FINAL!J928</f>
        <v>0</v>
      </c>
      <c r="C928">
        <f>[1]FINAL!K928</f>
        <v>0</v>
      </c>
      <c r="D928">
        <f>[1]FINAL!M928</f>
        <v>0</v>
      </c>
    </row>
    <row r="929" spans="1:4" x14ac:dyDescent="0.3">
      <c r="A929">
        <f>[1]FINAL!A929</f>
        <v>0</v>
      </c>
      <c r="B929">
        <f>[1]FINAL!J929</f>
        <v>0</v>
      </c>
      <c r="C929">
        <f>[1]FINAL!K929</f>
        <v>0</v>
      </c>
      <c r="D929">
        <f>[1]FINAL!M929</f>
        <v>0</v>
      </c>
    </row>
    <row r="930" spans="1:4" x14ac:dyDescent="0.3">
      <c r="A930">
        <f>[1]FINAL!A930</f>
        <v>0</v>
      </c>
      <c r="B930">
        <f>[1]FINAL!J930</f>
        <v>0</v>
      </c>
      <c r="C930">
        <f>[1]FINAL!K930</f>
        <v>0</v>
      </c>
      <c r="D930">
        <f>[1]FINAL!M930</f>
        <v>0</v>
      </c>
    </row>
    <row r="931" spans="1:4" x14ac:dyDescent="0.3">
      <c r="A931">
        <f>[1]FINAL!A931</f>
        <v>0</v>
      </c>
      <c r="B931">
        <f>[1]FINAL!J931</f>
        <v>0</v>
      </c>
      <c r="C931">
        <f>[1]FINAL!K931</f>
        <v>0</v>
      </c>
      <c r="D931">
        <f>[1]FINAL!M931</f>
        <v>0</v>
      </c>
    </row>
    <row r="932" spans="1:4" x14ac:dyDescent="0.3">
      <c r="A932">
        <f>[1]FINAL!A932</f>
        <v>0</v>
      </c>
      <c r="B932">
        <f>[1]FINAL!J932</f>
        <v>0</v>
      </c>
      <c r="C932">
        <f>[1]FINAL!K932</f>
        <v>0</v>
      </c>
      <c r="D932">
        <f>[1]FINAL!M932</f>
        <v>0</v>
      </c>
    </row>
    <row r="933" spans="1:4" x14ac:dyDescent="0.3">
      <c r="A933">
        <f>[1]FINAL!A933</f>
        <v>0</v>
      </c>
      <c r="B933">
        <f>[1]FINAL!J933</f>
        <v>0</v>
      </c>
      <c r="C933">
        <f>[1]FINAL!K933</f>
        <v>0</v>
      </c>
      <c r="D933">
        <f>[1]FINAL!M933</f>
        <v>0</v>
      </c>
    </row>
    <row r="934" spans="1:4" x14ac:dyDescent="0.3">
      <c r="A934">
        <f>[1]FINAL!A934</f>
        <v>0</v>
      </c>
      <c r="B934">
        <f>[1]FINAL!J934</f>
        <v>0</v>
      </c>
      <c r="C934">
        <f>[1]FINAL!K934</f>
        <v>0</v>
      </c>
      <c r="D934">
        <f>[1]FINAL!M934</f>
        <v>0</v>
      </c>
    </row>
    <row r="935" spans="1:4" x14ac:dyDescent="0.3">
      <c r="A935">
        <f>[1]FINAL!A935</f>
        <v>0</v>
      </c>
      <c r="B935">
        <f>[1]FINAL!J935</f>
        <v>0</v>
      </c>
      <c r="C935">
        <f>[1]FINAL!K935</f>
        <v>0</v>
      </c>
      <c r="D935">
        <f>[1]FINAL!M935</f>
        <v>0</v>
      </c>
    </row>
    <row r="936" spans="1:4" x14ac:dyDescent="0.3">
      <c r="A936">
        <f>[1]FINAL!A936</f>
        <v>0</v>
      </c>
      <c r="B936">
        <f>[1]FINAL!J936</f>
        <v>0</v>
      </c>
      <c r="C936">
        <f>[1]FINAL!K936</f>
        <v>0</v>
      </c>
      <c r="D936">
        <f>[1]FINAL!M936</f>
        <v>0</v>
      </c>
    </row>
    <row r="937" spans="1:4" x14ac:dyDescent="0.3">
      <c r="A937">
        <f>[1]FINAL!A937</f>
        <v>0</v>
      </c>
      <c r="B937">
        <f>[1]FINAL!J937</f>
        <v>0</v>
      </c>
      <c r="C937">
        <f>[1]FINAL!K937</f>
        <v>0</v>
      </c>
      <c r="D937">
        <f>[1]FINAL!M937</f>
        <v>0</v>
      </c>
    </row>
    <row r="938" spans="1:4" x14ac:dyDescent="0.3">
      <c r="A938">
        <f>[1]FINAL!A938</f>
        <v>0</v>
      </c>
      <c r="B938">
        <f>[1]FINAL!J938</f>
        <v>0</v>
      </c>
      <c r="C938">
        <f>[1]FINAL!K938</f>
        <v>0</v>
      </c>
      <c r="D938">
        <f>[1]FINAL!M938</f>
        <v>0</v>
      </c>
    </row>
    <row r="939" spans="1:4" x14ac:dyDescent="0.3">
      <c r="A939">
        <f>[1]FINAL!A939</f>
        <v>0</v>
      </c>
      <c r="B939">
        <f>[1]FINAL!J939</f>
        <v>0</v>
      </c>
      <c r="C939">
        <f>[1]FINAL!K939</f>
        <v>0</v>
      </c>
      <c r="D939">
        <f>[1]FINAL!M939</f>
        <v>0</v>
      </c>
    </row>
    <row r="940" spans="1:4" x14ac:dyDescent="0.3">
      <c r="A940">
        <f>[1]FINAL!A940</f>
        <v>0</v>
      </c>
      <c r="B940">
        <f>[1]FINAL!J940</f>
        <v>0</v>
      </c>
      <c r="C940">
        <f>[1]FINAL!K940</f>
        <v>0</v>
      </c>
      <c r="D940">
        <f>[1]FINAL!M940</f>
        <v>0</v>
      </c>
    </row>
    <row r="941" spans="1:4" x14ac:dyDescent="0.3">
      <c r="A941">
        <f>[1]FINAL!A941</f>
        <v>0</v>
      </c>
      <c r="B941">
        <f>[1]FINAL!J941</f>
        <v>0</v>
      </c>
      <c r="C941">
        <f>[1]FINAL!K941</f>
        <v>0</v>
      </c>
      <c r="D941">
        <f>[1]FINAL!M941</f>
        <v>0</v>
      </c>
    </row>
    <row r="942" spans="1:4" x14ac:dyDescent="0.3">
      <c r="A942">
        <f>[1]FINAL!A942</f>
        <v>0</v>
      </c>
      <c r="B942">
        <f>[1]FINAL!J942</f>
        <v>0</v>
      </c>
      <c r="C942">
        <f>[1]FINAL!K942</f>
        <v>0</v>
      </c>
      <c r="D942">
        <f>[1]FINAL!M942</f>
        <v>0</v>
      </c>
    </row>
    <row r="943" spans="1:4" x14ac:dyDescent="0.3">
      <c r="A943">
        <f>[1]FINAL!A943</f>
        <v>0</v>
      </c>
      <c r="B943">
        <f>[1]FINAL!J943</f>
        <v>0</v>
      </c>
      <c r="C943">
        <f>[1]FINAL!K943</f>
        <v>0</v>
      </c>
      <c r="D943">
        <f>[1]FINAL!M943</f>
        <v>0</v>
      </c>
    </row>
    <row r="944" spans="1:4" x14ac:dyDescent="0.3">
      <c r="A944">
        <f>[1]FINAL!A944</f>
        <v>0</v>
      </c>
      <c r="B944">
        <f>[1]FINAL!J944</f>
        <v>0</v>
      </c>
      <c r="C944">
        <f>[1]FINAL!K944</f>
        <v>0</v>
      </c>
      <c r="D944">
        <f>[1]FINAL!M944</f>
        <v>0</v>
      </c>
    </row>
    <row r="945" spans="1:4" x14ac:dyDescent="0.3">
      <c r="A945">
        <f>[1]FINAL!A945</f>
        <v>0</v>
      </c>
      <c r="B945">
        <f>[1]FINAL!J945</f>
        <v>0</v>
      </c>
      <c r="C945">
        <f>[1]FINAL!K945</f>
        <v>0</v>
      </c>
      <c r="D945">
        <f>[1]FINAL!M945</f>
        <v>0</v>
      </c>
    </row>
    <row r="946" spans="1:4" x14ac:dyDescent="0.3">
      <c r="A946">
        <f>[1]FINAL!A946</f>
        <v>0</v>
      </c>
      <c r="B946">
        <f>[1]FINAL!J946</f>
        <v>0</v>
      </c>
      <c r="C946">
        <f>[1]FINAL!K946</f>
        <v>0</v>
      </c>
      <c r="D946">
        <f>[1]FINAL!M946</f>
        <v>0</v>
      </c>
    </row>
    <row r="947" spans="1:4" x14ac:dyDescent="0.3">
      <c r="A947">
        <f>[1]FINAL!A947</f>
        <v>0</v>
      </c>
      <c r="B947">
        <f>[1]FINAL!J947</f>
        <v>0</v>
      </c>
      <c r="C947">
        <f>[1]FINAL!K947</f>
        <v>0</v>
      </c>
      <c r="D947">
        <f>[1]FINAL!M947</f>
        <v>0</v>
      </c>
    </row>
    <row r="948" spans="1:4" x14ac:dyDescent="0.3">
      <c r="A948">
        <f>[1]FINAL!A948</f>
        <v>0</v>
      </c>
      <c r="B948">
        <f>[1]FINAL!J948</f>
        <v>0</v>
      </c>
      <c r="C948">
        <f>[1]FINAL!K948</f>
        <v>0</v>
      </c>
      <c r="D948">
        <f>[1]FINAL!M948</f>
        <v>0</v>
      </c>
    </row>
    <row r="949" spans="1:4" x14ac:dyDescent="0.3">
      <c r="A949">
        <f>[1]FINAL!A949</f>
        <v>0</v>
      </c>
      <c r="B949">
        <f>[1]FINAL!J949</f>
        <v>0</v>
      </c>
      <c r="C949">
        <f>[1]FINAL!K949</f>
        <v>0</v>
      </c>
      <c r="D949">
        <f>[1]FINAL!M949</f>
        <v>0</v>
      </c>
    </row>
    <row r="950" spans="1:4" x14ac:dyDescent="0.3">
      <c r="A950">
        <f>[1]FINAL!A950</f>
        <v>0</v>
      </c>
      <c r="B950">
        <f>[1]FINAL!J950</f>
        <v>0</v>
      </c>
      <c r="C950">
        <f>[1]FINAL!K950</f>
        <v>0</v>
      </c>
      <c r="D950">
        <f>[1]FINAL!M950</f>
        <v>0</v>
      </c>
    </row>
    <row r="951" spans="1:4" x14ac:dyDescent="0.3">
      <c r="A951">
        <f>[1]FINAL!A951</f>
        <v>0</v>
      </c>
      <c r="B951">
        <f>[1]FINAL!J951</f>
        <v>0</v>
      </c>
      <c r="C951">
        <f>[1]FINAL!K951</f>
        <v>0</v>
      </c>
      <c r="D951">
        <f>[1]FINAL!M951</f>
        <v>0</v>
      </c>
    </row>
    <row r="952" spans="1:4" x14ac:dyDescent="0.3">
      <c r="A952">
        <f>[1]FINAL!A952</f>
        <v>0</v>
      </c>
      <c r="B952">
        <f>[1]FINAL!J952</f>
        <v>0</v>
      </c>
      <c r="C952">
        <f>[1]FINAL!K952</f>
        <v>0</v>
      </c>
      <c r="D952">
        <f>[1]FINAL!M952</f>
        <v>0</v>
      </c>
    </row>
    <row r="953" spans="1:4" x14ac:dyDescent="0.3">
      <c r="A953">
        <f>[1]FINAL!A953</f>
        <v>0</v>
      </c>
      <c r="B953">
        <f>[1]FINAL!J953</f>
        <v>0</v>
      </c>
      <c r="C953">
        <f>[1]FINAL!K953</f>
        <v>0</v>
      </c>
      <c r="D953">
        <f>[1]FINAL!M953</f>
        <v>0</v>
      </c>
    </row>
    <row r="954" spans="1:4" x14ac:dyDescent="0.3">
      <c r="A954">
        <f>[1]FINAL!A954</f>
        <v>0</v>
      </c>
      <c r="B954">
        <f>[1]FINAL!J954</f>
        <v>0</v>
      </c>
      <c r="C954">
        <f>[1]FINAL!K954</f>
        <v>0</v>
      </c>
      <c r="D954">
        <f>[1]FINAL!M954</f>
        <v>0</v>
      </c>
    </row>
    <row r="955" spans="1:4" x14ac:dyDescent="0.3">
      <c r="A955">
        <f>[1]FINAL!A955</f>
        <v>0</v>
      </c>
      <c r="B955">
        <f>[1]FINAL!J955</f>
        <v>0</v>
      </c>
      <c r="C955">
        <f>[1]FINAL!K955</f>
        <v>0</v>
      </c>
      <c r="D955">
        <f>[1]FINAL!M955</f>
        <v>0</v>
      </c>
    </row>
    <row r="956" spans="1:4" x14ac:dyDescent="0.3">
      <c r="A956">
        <f>[1]FINAL!A956</f>
        <v>0</v>
      </c>
      <c r="B956">
        <f>[1]FINAL!J956</f>
        <v>0</v>
      </c>
      <c r="C956">
        <f>[1]FINAL!K956</f>
        <v>0</v>
      </c>
      <c r="D956">
        <f>[1]FINAL!M956</f>
        <v>0</v>
      </c>
    </row>
    <row r="957" spans="1:4" x14ac:dyDescent="0.3">
      <c r="A957">
        <f>[1]FINAL!A957</f>
        <v>0</v>
      </c>
      <c r="B957">
        <f>[1]FINAL!J957</f>
        <v>0</v>
      </c>
      <c r="C957">
        <f>[1]FINAL!K957</f>
        <v>0</v>
      </c>
      <c r="D957">
        <f>[1]FINAL!M957</f>
        <v>0</v>
      </c>
    </row>
    <row r="958" spans="1:4" x14ac:dyDescent="0.3">
      <c r="A958">
        <f>[1]FINAL!A958</f>
        <v>0</v>
      </c>
      <c r="B958">
        <f>[1]FINAL!J958</f>
        <v>0</v>
      </c>
      <c r="C958">
        <f>[1]FINAL!K958</f>
        <v>0</v>
      </c>
      <c r="D958">
        <f>[1]FINAL!M958</f>
        <v>0</v>
      </c>
    </row>
    <row r="959" spans="1:4" x14ac:dyDescent="0.3">
      <c r="A959">
        <f>[1]FINAL!A959</f>
        <v>0</v>
      </c>
      <c r="B959">
        <f>[1]FINAL!J959</f>
        <v>0</v>
      </c>
      <c r="C959">
        <f>[1]FINAL!K959</f>
        <v>0</v>
      </c>
      <c r="D959">
        <f>[1]FINAL!M959</f>
        <v>0</v>
      </c>
    </row>
    <row r="960" spans="1:4" x14ac:dyDescent="0.3">
      <c r="A960">
        <f>[1]FINAL!A960</f>
        <v>0</v>
      </c>
      <c r="B960">
        <f>[1]FINAL!J960</f>
        <v>0</v>
      </c>
      <c r="C960">
        <f>[1]FINAL!K960</f>
        <v>0</v>
      </c>
      <c r="D960">
        <f>[1]FINAL!M960</f>
        <v>0</v>
      </c>
    </row>
    <row r="961" spans="1:4" x14ac:dyDescent="0.3">
      <c r="A961">
        <f>[1]FINAL!A961</f>
        <v>0</v>
      </c>
      <c r="B961">
        <f>[1]FINAL!J961</f>
        <v>0</v>
      </c>
      <c r="C961">
        <f>[1]FINAL!K961</f>
        <v>0</v>
      </c>
      <c r="D961">
        <f>[1]FINAL!M961</f>
        <v>0</v>
      </c>
    </row>
    <row r="962" spans="1:4" x14ac:dyDescent="0.3">
      <c r="A962">
        <f>[1]FINAL!A962</f>
        <v>0</v>
      </c>
      <c r="B962">
        <f>[1]FINAL!J962</f>
        <v>0</v>
      </c>
      <c r="C962">
        <f>[1]FINAL!K962</f>
        <v>0</v>
      </c>
      <c r="D962">
        <f>[1]FINAL!M962</f>
        <v>0</v>
      </c>
    </row>
    <row r="963" spans="1:4" x14ac:dyDescent="0.3">
      <c r="A963">
        <f>[1]FINAL!A963</f>
        <v>0</v>
      </c>
      <c r="B963">
        <f>[1]FINAL!J963</f>
        <v>0</v>
      </c>
      <c r="C963">
        <f>[1]FINAL!K963</f>
        <v>0</v>
      </c>
      <c r="D963">
        <f>[1]FINAL!M963</f>
        <v>0</v>
      </c>
    </row>
    <row r="964" spans="1:4" x14ac:dyDescent="0.3">
      <c r="A964">
        <f>[1]FINAL!A964</f>
        <v>0</v>
      </c>
      <c r="B964">
        <f>[1]FINAL!J964</f>
        <v>0</v>
      </c>
      <c r="C964">
        <f>[1]FINAL!K964</f>
        <v>0</v>
      </c>
      <c r="D964">
        <f>[1]FINAL!M964</f>
        <v>0</v>
      </c>
    </row>
    <row r="965" spans="1:4" x14ac:dyDescent="0.3">
      <c r="A965">
        <f>[1]FINAL!A965</f>
        <v>0</v>
      </c>
      <c r="B965">
        <f>[1]FINAL!J965</f>
        <v>0</v>
      </c>
      <c r="C965">
        <f>[1]FINAL!K965</f>
        <v>0</v>
      </c>
      <c r="D965">
        <f>[1]FINAL!M965</f>
        <v>0</v>
      </c>
    </row>
    <row r="966" spans="1:4" x14ac:dyDescent="0.3">
      <c r="A966">
        <f>[1]FINAL!A966</f>
        <v>0</v>
      </c>
      <c r="B966">
        <f>[1]FINAL!J966</f>
        <v>0</v>
      </c>
      <c r="C966">
        <f>[1]FINAL!K966</f>
        <v>0</v>
      </c>
      <c r="D966">
        <f>[1]FINAL!M966</f>
        <v>0</v>
      </c>
    </row>
    <row r="967" spans="1:4" x14ac:dyDescent="0.3">
      <c r="A967">
        <f>[1]FINAL!A967</f>
        <v>0</v>
      </c>
      <c r="B967">
        <f>[1]FINAL!J967</f>
        <v>0</v>
      </c>
      <c r="C967">
        <f>[1]FINAL!K967</f>
        <v>0</v>
      </c>
      <c r="D967">
        <f>[1]FINAL!M967</f>
        <v>0</v>
      </c>
    </row>
    <row r="968" spans="1:4" x14ac:dyDescent="0.3">
      <c r="A968">
        <f>[1]FINAL!A968</f>
        <v>0</v>
      </c>
      <c r="B968">
        <f>[1]FINAL!J968</f>
        <v>0</v>
      </c>
      <c r="C968">
        <f>[1]FINAL!K968</f>
        <v>0</v>
      </c>
      <c r="D968">
        <f>[1]FINAL!M968</f>
        <v>0</v>
      </c>
    </row>
    <row r="969" spans="1:4" x14ac:dyDescent="0.3">
      <c r="A969">
        <f>[1]FINAL!A969</f>
        <v>0</v>
      </c>
      <c r="B969">
        <f>[1]FINAL!J969</f>
        <v>0</v>
      </c>
      <c r="C969">
        <f>[1]FINAL!K969</f>
        <v>0</v>
      </c>
      <c r="D969">
        <f>[1]FINAL!M969</f>
        <v>0</v>
      </c>
    </row>
    <row r="970" spans="1:4" x14ac:dyDescent="0.3">
      <c r="A970">
        <f>[1]FINAL!A970</f>
        <v>0</v>
      </c>
      <c r="B970">
        <f>[1]FINAL!J970</f>
        <v>0</v>
      </c>
      <c r="C970">
        <f>[1]FINAL!K970</f>
        <v>0</v>
      </c>
      <c r="D970">
        <f>[1]FINAL!M970</f>
        <v>0</v>
      </c>
    </row>
    <row r="971" spans="1:4" x14ac:dyDescent="0.3">
      <c r="A971">
        <f>[1]FINAL!A971</f>
        <v>0</v>
      </c>
      <c r="B971">
        <f>[1]FINAL!J971</f>
        <v>0</v>
      </c>
      <c r="C971">
        <f>[1]FINAL!K971</f>
        <v>0</v>
      </c>
      <c r="D971">
        <f>[1]FINAL!M971</f>
        <v>0</v>
      </c>
    </row>
    <row r="972" spans="1:4" x14ac:dyDescent="0.3">
      <c r="A972">
        <f>[1]FINAL!A972</f>
        <v>0</v>
      </c>
      <c r="B972">
        <f>[1]FINAL!J972</f>
        <v>0</v>
      </c>
      <c r="C972">
        <f>[1]FINAL!K972</f>
        <v>0</v>
      </c>
      <c r="D972">
        <f>[1]FINAL!M972</f>
        <v>0</v>
      </c>
    </row>
    <row r="973" spans="1:4" x14ac:dyDescent="0.3">
      <c r="A973">
        <f>[1]FINAL!A973</f>
        <v>0</v>
      </c>
      <c r="B973">
        <f>[1]FINAL!J973</f>
        <v>0</v>
      </c>
      <c r="C973">
        <f>[1]FINAL!K973</f>
        <v>0</v>
      </c>
      <c r="D973">
        <f>[1]FINAL!M973</f>
        <v>0</v>
      </c>
    </row>
    <row r="974" spans="1:4" x14ac:dyDescent="0.3">
      <c r="A974">
        <f>[1]FINAL!A974</f>
        <v>0</v>
      </c>
      <c r="B974">
        <f>[1]FINAL!J974</f>
        <v>0</v>
      </c>
      <c r="C974">
        <f>[1]FINAL!K974</f>
        <v>0</v>
      </c>
      <c r="D974">
        <f>[1]FINAL!M974</f>
        <v>0</v>
      </c>
    </row>
    <row r="975" spans="1:4" x14ac:dyDescent="0.3">
      <c r="A975">
        <f>[1]FINAL!A975</f>
        <v>0</v>
      </c>
      <c r="B975">
        <f>[1]FINAL!J975</f>
        <v>0</v>
      </c>
      <c r="C975">
        <f>[1]FINAL!K975</f>
        <v>0</v>
      </c>
      <c r="D975">
        <f>[1]FINAL!M975</f>
        <v>0</v>
      </c>
    </row>
    <row r="976" spans="1:4" x14ac:dyDescent="0.3">
      <c r="A976">
        <f>[1]FINAL!A976</f>
        <v>0</v>
      </c>
      <c r="B976">
        <f>[1]FINAL!J976</f>
        <v>0</v>
      </c>
      <c r="C976">
        <f>[1]FINAL!K976</f>
        <v>0</v>
      </c>
      <c r="D976">
        <f>[1]FINAL!M976</f>
        <v>0</v>
      </c>
    </row>
    <row r="977" spans="1:4" x14ac:dyDescent="0.3">
      <c r="A977">
        <f>[1]FINAL!A977</f>
        <v>0</v>
      </c>
      <c r="B977">
        <f>[1]FINAL!J977</f>
        <v>0</v>
      </c>
      <c r="C977">
        <f>[1]FINAL!K977</f>
        <v>0</v>
      </c>
      <c r="D977">
        <f>[1]FINAL!M977</f>
        <v>0</v>
      </c>
    </row>
    <row r="978" spans="1:4" x14ac:dyDescent="0.3">
      <c r="A978">
        <f>[1]FINAL!A978</f>
        <v>0</v>
      </c>
      <c r="B978">
        <f>[1]FINAL!J978</f>
        <v>0</v>
      </c>
      <c r="C978">
        <f>[1]FINAL!K978</f>
        <v>0</v>
      </c>
      <c r="D978">
        <f>[1]FINAL!M978</f>
        <v>0</v>
      </c>
    </row>
    <row r="979" spans="1:4" x14ac:dyDescent="0.3">
      <c r="A979">
        <f>[1]FINAL!A979</f>
        <v>0</v>
      </c>
      <c r="B979">
        <f>[1]FINAL!J979</f>
        <v>0</v>
      </c>
      <c r="C979">
        <f>[1]FINAL!K979</f>
        <v>0</v>
      </c>
      <c r="D979">
        <f>[1]FINAL!M979</f>
        <v>0</v>
      </c>
    </row>
    <row r="980" spans="1:4" x14ac:dyDescent="0.3">
      <c r="A980">
        <f>[1]FINAL!A980</f>
        <v>0</v>
      </c>
      <c r="B980">
        <f>[1]FINAL!J980</f>
        <v>0</v>
      </c>
      <c r="C980">
        <f>[1]FINAL!K980</f>
        <v>0</v>
      </c>
      <c r="D980">
        <f>[1]FINAL!M980</f>
        <v>0</v>
      </c>
    </row>
    <row r="981" spans="1:4" x14ac:dyDescent="0.3">
      <c r="A981">
        <f>[1]FINAL!A981</f>
        <v>0</v>
      </c>
      <c r="B981">
        <f>[1]FINAL!J981</f>
        <v>0</v>
      </c>
      <c r="C981">
        <f>[1]FINAL!K981</f>
        <v>0</v>
      </c>
      <c r="D981">
        <f>[1]FINAL!M981</f>
        <v>0</v>
      </c>
    </row>
    <row r="982" spans="1:4" x14ac:dyDescent="0.3">
      <c r="A982">
        <f>[1]FINAL!A982</f>
        <v>0</v>
      </c>
      <c r="B982">
        <f>[1]FINAL!J982</f>
        <v>0</v>
      </c>
      <c r="C982">
        <f>[1]FINAL!K982</f>
        <v>0</v>
      </c>
      <c r="D982">
        <f>[1]FINAL!M982</f>
        <v>0</v>
      </c>
    </row>
    <row r="983" spans="1:4" x14ac:dyDescent="0.3">
      <c r="A983">
        <f>[1]FINAL!A983</f>
        <v>0</v>
      </c>
      <c r="B983">
        <f>[1]FINAL!J983</f>
        <v>0</v>
      </c>
      <c r="C983">
        <f>[1]FINAL!K983</f>
        <v>0</v>
      </c>
      <c r="D983">
        <f>[1]FINAL!M983</f>
        <v>0</v>
      </c>
    </row>
    <row r="984" spans="1:4" x14ac:dyDescent="0.3">
      <c r="A984">
        <f>[1]FINAL!A984</f>
        <v>0</v>
      </c>
      <c r="B984">
        <f>[1]FINAL!J984</f>
        <v>0</v>
      </c>
      <c r="C984">
        <f>[1]FINAL!K984</f>
        <v>0</v>
      </c>
      <c r="D984">
        <f>[1]FINAL!M984</f>
        <v>0</v>
      </c>
    </row>
    <row r="985" spans="1:4" x14ac:dyDescent="0.3">
      <c r="A985">
        <f>[1]FINAL!A985</f>
        <v>0</v>
      </c>
      <c r="B985">
        <f>[1]FINAL!J985</f>
        <v>0</v>
      </c>
      <c r="C985">
        <f>[1]FINAL!K985</f>
        <v>0</v>
      </c>
      <c r="D985">
        <f>[1]FINAL!M985</f>
        <v>0</v>
      </c>
    </row>
    <row r="986" spans="1:4" x14ac:dyDescent="0.3">
      <c r="A986">
        <f>[1]FINAL!A986</f>
        <v>0</v>
      </c>
      <c r="B986">
        <f>[1]FINAL!J986</f>
        <v>0</v>
      </c>
      <c r="C986">
        <f>[1]FINAL!K986</f>
        <v>0</v>
      </c>
      <c r="D986">
        <f>[1]FINAL!M986</f>
        <v>0</v>
      </c>
    </row>
    <row r="987" spans="1:4" x14ac:dyDescent="0.3">
      <c r="A987">
        <f>[1]FINAL!A987</f>
        <v>0</v>
      </c>
      <c r="B987">
        <f>[1]FINAL!J987</f>
        <v>0</v>
      </c>
      <c r="C987">
        <f>[1]FINAL!K987</f>
        <v>0</v>
      </c>
      <c r="D987">
        <f>[1]FINAL!M987</f>
        <v>0</v>
      </c>
    </row>
    <row r="988" spans="1:4" x14ac:dyDescent="0.3">
      <c r="A988">
        <f>[1]FINAL!A988</f>
        <v>0</v>
      </c>
      <c r="B988">
        <f>[1]FINAL!J988</f>
        <v>0</v>
      </c>
      <c r="C988">
        <f>[1]FINAL!K988</f>
        <v>0</v>
      </c>
      <c r="D988">
        <f>[1]FINAL!M988</f>
        <v>0</v>
      </c>
    </row>
    <row r="989" spans="1:4" x14ac:dyDescent="0.3">
      <c r="A989">
        <f>[1]FINAL!A989</f>
        <v>0</v>
      </c>
      <c r="B989">
        <f>[1]FINAL!J989</f>
        <v>0</v>
      </c>
      <c r="C989">
        <f>[1]FINAL!K989</f>
        <v>0</v>
      </c>
      <c r="D989">
        <f>[1]FINAL!M989</f>
        <v>0</v>
      </c>
    </row>
    <row r="990" spans="1:4" x14ac:dyDescent="0.3">
      <c r="A990">
        <f>[1]FINAL!A990</f>
        <v>0</v>
      </c>
      <c r="B990">
        <f>[1]FINAL!J990</f>
        <v>0</v>
      </c>
      <c r="C990">
        <f>[1]FINAL!K990</f>
        <v>0</v>
      </c>
      <c r="D990">
        <f>[1]FINAL!M990</f>
        <v>0</v>
      </c>
    </row>
    <row r="991" spans="1:4" x14ac:dyDescent="0.3">
      <c r="A991">
        <f>[1]FINAL!A991</f>
        <v>0</v>
      </c>
      <c r="B991">
        <f>[1]FINAL!J991</f>
        <v>0</v>
      </c>
      <c r="C991">
        <f>[1]FINAL!K991</f>
        <v>0</v>
      </c>
      <c r="D991">
        <f>[1]FINAL!M991</f>
        <v>0</v>
      </c>
    </row>
    <row r="992" spans="1:4" x14ac:dyDescent="0.3">
      <c r="A992">
        <f>[1]FINAL!A992</f>
        <v>0</v>
      </c>
      <c r="B992">
        <f>[1]FINAL!J992</f>
        <v>0</v>
      </c>
      <c r="C992">
        <f>[1]FINAL!K992</f>
        <v>0</v>
      </c>
      <c r="D992">
        <f>[1]FINAL!M992</f>
        <v>0</v>
      </c>
    </row>
    <row r="993" spans="1:4" x14ac:dyDescent="0.3">
      <c r="A993">
        <f>[1]FINAL!A993</f>
        <v>0</v>
      </c>
      <c r="B993">
        <f>[1]FINAL!J993</f>
        <v>0</v>
      </c>
      <c r="C993">
        <f>[1]FINAL!K993</f>
        <v>0</v>
      </c>
      <c r="D993">
        <f>[1]FINAL!M993</f>
        <v>0</v>
      </c>
    </row>
    <row r="994" spans="1:4" x14ac:dyDescent="0.3">
      <c r="A994">
        <f>[1]FINAL!A994</f>
        <v>0</v>
      </c>
      <c r="B994">
        <f>[1]FINAL!J994</f>
        <v>0</v>
      </c>
      <c r="C994">
        <f>[1]FINAL!K994</f>
        <v>0</v>
      </c>
      <c r="D994">
        <f>[1]FINAL!M994</f>
        <v>0</v>
      </c>
    </row>
    <row r="995" spans="1:4" x14ac:dyDescent="0.3">
      <c r="A995">
        <f>[1]FINAL!A995</f>
        <v>0</v>
      </c>
      <c r="B995">
        <f>[1]FINAL!J995</f>
        <v>0</v>
      </c>
      <c r="C995">
        <f>[1]FINAL!K995</f>
        <v>0</v>
      </c>
      <c r="D995">
        <f>[1]FINAL!M995</f>
        <v>0</v>
      </c>
    </row>
    <row r="996" spans="1:4" x14ac:dyDescent="0.3">
      <c r="A996">
        <f>[1]FINAL!A996</f>
        <v>0</v>
      </c>
      <c r="B996">
        <f>[1]FINAL!J996</f>
        <v>0</v>
      </c>
      <c r="C996">
        <f>[1]FINAL!K996</f>
        <v>0</v>
      </c>
      <c r="D996">
        <f>[1]FINAL!M996</f>
        <v>0</v>
      </c>
    </row>
    <row r="997" spans="1:4" x14ac:dyDescent="0.3">
      <c r="A997">
        <f>[1]FINAL!A997</f>
        <v>0</v>
      </c>
      <c r="B997">
        <f>[1]FINAL!J997</f>
        <v>0</v>
      </c>
      <c r="C997">
        <f>[1]FINAL!K997</f>
        <v>0</v>
      </c>
      <c r="D997">
        <f>[1]FINAL!M997</f>
        <v>0</v>
      </c>
    </row>
    <row r="998" spans="1:4" x14ac:dyDescent="0.3">
      <c r="A998">
        <f>[1]FINAL!A998</f>
        <v>0</v>
      </c>
      <c r="B998">
        <f>[1]FINAL!J998</f>
        <v>0</v>
      </c>
      <c r="C998">
        <f>[1]FINAL!K998</f>
        <v>0</v>
      </c>
      <c r="D998">
        <f>[1]FINAL!M998</f>
        <v>0</v>
      </c>
    </row>
    <row r="999" spans="1:4" x14ac:dyDescent="0.3">
      <c r="A999">
        <f>[1]FINAL!A999</f>
        <v>0</v>
      </c>
      <c r="B999">
        <f>[1]FINAL!J999</f>
        <v>0</v>
      </c>
      <c r="C999">
        <f>[1]FINAL!K999</f>
        <v>0</v>
      </c>
      <c r="D999">
        <f>[1]FINAL!M999</f>
        <v>0</v>
      </c>
    </row>
    <row r="1000" spans="1:4" x14ac:dyDescent="0.3">
      <c r="A1000">
        <f>[1]FINAL!A1000</f>
        <v>0</v>
      </c>
      <c r="B1000">
        <f>[1]FINAL!J1000</f>
        <v>0</v>
      </c>
      <c r="C1000">
        <f>[1]FINAL!K1000</f>
        <v>0</v>
      </c>
      <c r="D1000">
        <f>[1]FINAL!M1000</f>
        <v>0</v>
      </c>
    </row>
    <row r="1001" spans="1:4" x14ac:dyDescent="0.3">
      <c r="A1001">
        <f>[1]FINAL!A1001</f>
        <v>0</v>
      </c>
      <c r="B1001">
        <f>[1]FINAL!J1001</f>
        <v>0</v>
      </c>
      <c r="C1001">
        <f>[1]FINAL!K1001</f>
        <v>0</v>
      </c>
      <c r="D1001">
        <f>[1]FINAL!M1001</f>
        <v>0</v>
      </c>
    </row>
    <row r="1002" spans="1:4" x14ac:dyDescent="0.3">
      <c r="A1002">
        <f>[1]FINAL!A1002</f>
        <v>0</v>
      </c>
      <c r="B1002">
        <f>[1]FINAL!J1002</f>
        <v>0</v>
      </c>
      <c r="C1002">
        <f>[1]FINAL!K1002</f>
        <v>0</v>
      </c>
      <c r="D1002">
        <f>[1]FINAL!M1002</f>
        <v>0</v>
      </c>
    </row>
    <row r="1003" spans="1:4" x14ac:dyDescent="0.3">
      <c r="A1003">
        <f>[1]FINAL!A1003</f>
        <v>0</v>
      </c>
      <c r="B1003">
        <f>[1]FINAL!J1003</f>
        <v>0</v>
      </c>
      <c r="C1003">
        <f>[1]FINAL!K1003</f>
        <v>0</v>
      </c>
      <c r="D1003">
        <f>[1]FINAL!M1003</f>
        <v>0</v>
      </c>
    </row>
    <row r="1004" spans="1:4" x14ac:dyDescent="0.3">
      <c r="A1004">
        <f>[1]FINAL!A1004</f>
        <v>0</v>
      </c>
      <c r="B1004">
        <f>[1]FINAL!J1004</f>
        <v>0</v>
      </c>
      <c r="C1004">
        <f>[1]FINAL!K1004</f>
        <v>0</v>
      </c>
      <c r="D1004">
        <f>[1]FINAL!M1004</f>
        <v>0</v>
      </c>
    </row>
    <row r="1005" spans="1:4" x14ac:dyDescent="0.3">
      <c r="A1005">
        <f>[1]FINAL!A1005</f>
        <v>0</v>
      </c>
      <c r="B1005">
        <f>[1]FINAL!J1005</f>
        <v>0</v>
      </c>
      <c r="C1005">
        <f>[1]FINAL!K1005</f>
        <v>0</v>
      </c>
      <c r="D1005">
        <f>[1]FINAL!M1005</f>
        <v>0</v>
      </c>
    </row>
    <row r="1006" spans="1:4" x14ac:dyDescent="0.3">
      <c r="A1006">
        <f>[1]FINAL!A1006</f>
        <v>0</v>
      </c>
      <c r="B1006">
        <f>[1]FINAL!J1006</f>
        <v>0</v>
      </c>
      <c r="C1006">
        <f>[1]FINAL!K1006</f>
        <v>0</v>
      </c>
      <c r="D1006">
        <f>[1]FINAL!M1006</f>
        <v>0</v>
      </c>
    </row>
    <row r="1007" spans="1:4" x14ac:dyDescent="0.3">
      <c r="A1007">
        <f>[1]FINAL!A1007</f>
        <v>0</v>
      </c>
      <c r="B1007">
        <f>[1]FINAL!J1007</f>
        <v>0</v>
      </c>
      <c r="C1007">
        <f>[1]FINAL!K1007</f>
        <v>0</v>
      </c>
      <c r="D1007">
        <f>[1]FINAL!M1007</f>
        <v>0</v>
      </c>
    </row>
    <row r="1008" spans="1:4" x14ac:dyDescent="0.3">
      <c r="A1008">
        <f>[1]FINAL!A1008</f>
        <v>0</v>
      </c>
      <c r="B1008">
        <f>[1]FINAL!J1008</f>
        <v>0</v>
      </c>
      <c r="C1008">
        <f>[1]FINAL!K1008</f>
        <v>0</v>
      </c>
      <c r="D1008">
        <f>[1]FINAL!M1008</f>
        <v>0</v>
      </c>
    </row>
    <row r="1009" spans="1:4" x14ac:dyDescent="0.3">
      <c r="A1009">
        <f>[1]FINAL!A1009</f>
        <v>0</v>
      </c>
      <c r="B1009">
        <f>[1]FINAL!J1009</f>
        <v>0</v>
      </c>
      <c r="C1009">
        <f>[1]FINAL!K1009</f>
        <v>0</v>
      </c>
      <c r="D1009">
        <f>[1]FINAL!M1009</f>
        <v>0</v>
      </c>
    </row>
    <row r="1010" spans="1:4" x14ac:dyDescent="0.3">
      <c r="A1010">
        <f>[1]FINAL!A1010</f>
        <v>0</v>
      </c>
      <c r="B1010">
        <f>[1]FINAL!J1010</f>
        <v>0</v>
      </c>
      <c r="C1010">
        <f>[1]FINAL!K1010</f>
        <v>0</v>
      </c>
      <c r="D1010">
        <f>[1]FINAL!M1010</f>
        <v>0</v>
      </c>
    </row>
    <row r="1011" spans="1:4" x14ac:dyDescent="0.3">
      <c r="A1011">
        <f>[1]FINAL!A1011</f>
        <v>0</v>
      </c>
      <c r="B1011">
        <f>[1]FINAL!J1011</f>
        <v>0</v>
      </c>
      <c r="C1011">
        <f>[1]FINAL!K1011</f>
        <v>0</v>
      </c>
      <c r="D1011">
        <f>[1]FINAL!M1011</f>
        <v>0</v>
      </c>
    </row>
    <row r="1012" spans="1:4" x14ac:dyDescent="0.3">
      <c r="A1012">
        <f>[1]FINAL!A1012</f>
        <v>0</v>
      </c>
      <c r="B1012">
        <f>[1]FINAL!J1012</f>
        <v>0</v>
      </c>
      <c r="C1012">
        <f>[1]FINAL!K1012</f>
        <v>0</v>
      </c>
      <c r="D1012">
        <f>[1]FINAL!M1012</f>
        <v>0</v>
      </c>
    </row>
    <row r="1013" spans="1:4" x14ac:dyDescent="0.3">
      <c r="A1013">
        <f>[1]FINAL!A1013</f>
        <v>0</v>
      </c>
      <c r="B1013">
        <f>[1]FINAL!J1013</f>
        <v>0</v>
      </c>
      <c r="C1013">
        <f>[1]FINAL!K1013</f>
        <v>0</v>
      </c>
      <c r="D1013">
        <f>[1]FINAL!M1013</f>
        <v>0</v>
      </c>
    </row>
    <row r="1014" spans="1:4" x14ac:dyDescent="0.3">
      <c r="A1014">
        <f>[1]FINAL!A1014</f>
        <v>0</v>
      </c>
      <c r="B1014">
        <f>[1]FINAL!J1014</f>
        <v>0</v>
      </c>
      <c r="C1014">
        <f>[1]FINAL!K1014</f>
        <v>0</v>
      </c>
      <c r="D1014">
        <f>[1]FINAL!M1014</f>
        <v>0</v>
      </c>
    </row>
    <row r="1015" spans="1:4" x14ac:dyDescent="0.3">
      <c r="A1015">
        <f>[1]FINAL!A1015</f>
        <v>0</v>
      </c>
      <c r="B1015">
        <f>[1]FINAL!J1015</f>
        <v>0</v>
      </c>
      <c r="C1015">
        <f>[1]FINAL!K1015</f>
        <v>0</v>
      </c>
      <c r="D1015">
        <f>[1]FINAL!M1015</f>
        <v>0</v>
      </c>
    </row>
    <row r="1016" spans="1:4" x14ac:dyDescent="0.3">
      <c r="A1016">
        <f>[1]FINAL!A1016</f>
        <v>0</v>
      </c>
      <c r="B1016">
        <f>[1]FINAL!J1016</f>
        <v>0</v>
      </c>
      <c r="C1016">
        <f>[1]FINAL!K1016</f>
        <v>0</v>
      </c>
      <c r="D1016">
        <f>[1]FINAL!M1016</f>
        <v>0</v>
      </c>
    </row>
    <row r="1017" spans="1:4" x14ac:dyDescent="0.3">
      <c r="A1017">
        <f>[1]FINAL!A1017</f>
        <v>0</v>
      </c>
      <c r="B1017">
        <f>[1]FINAL!J1017</f>
        <v>0</v>
      </c>
      <c r="C1017">
        <f>[1]FINAL!K1017</f>
        <v>0</v>
      </c>
      <c r="D1017">
        <f>[1]FINAL!M1017</f>
        <v>0</v>
      </c>
    </row>
    <row r="1018" spans="1:4" x14ac:dyDescent="0.3">
      <c r="A1018">
        <f>[1]FINAL!A1018</f>
        <v>0</v>
      </c>
      <c r="B1018">
        <f>[1]FINAL!J1018</f>
        <v>0</v>
      </c>
      <c r="C1018">
        <f>[1]FINAL!K1018</f>
        <v>0</v>
      </c>
      <c r="D1018">
        <f>[1]FINAL!M1018</f>
        <v>0</v>
      </c>
    </row>
    <row r="1019" spans="1:4" x14ac:dyDescent="0.3">
      <c r="A1019">
        <f>[1]FINAL!A1019</f>
        <v>0</v>
      </c>
      <c r="B1019">
        <f>[1]FINAL!J1019</f>
        <v>0</v>
      </c>
      <c r="C1019">
        <f>[1]FINAL!K1019</f>
        <v>0</v>
      </c>
      <c r="D1019">
        <f>[1]FINAL!M1019</f>
        <v>0</v>
      </c>
    </row>
    <row r="1020" spans="1:4" x14ac:dyDescent="0.3">
      <c r="A1020">
        <f>[1]FINAL!A1020</f>
        <v>0</v>
      </c>
      <c r="B1020">
        <f>[1]FINAL!J1020</f>
        <v>0</v>
      </c>
      <c r="C1020">
        <f>[1]FINAL!K1020</f>
        <v>0</v>
      </c>
      <c r="D1020">
        <f>[1]FINAL!M1020</f>
        <v>0</v>
      </c>
    </row>
    <row r="1021" spans="1:4" x14ac:dyDescent="0.3">
      <c r="A1021">
        <f>[1]FINAL!A1021</f>
        <v>0</v>
      </c>
      <c r="B1021">
        <f>[1]FINAL!J1021</f>
        <v>0</v>
      </c>
      <c r="C1021">
        <f>[1]FINAL!K1021</f>
        <v>0</v>
      </c>
      <c r="D1021">
        <f>[1]FINAL!M1021</f>
        <v>0</v>
      </c>
    </row>
    <row r="1022" spans="1:4" x14ac:dyDescent="0.3">
      <c r="A1022">
        <f>[1]FINAL!A1022</f>
        <v>0</v>
      </c>
      <c r="B1022">
        <f>[1]FINAL!J1022</f>
        <v>0</v>
      </c>
      <c r="C1022">
        <f>[1]FINAL!K1022</f>
        <v>0</v>
      </c>
      <c r="D1022">
        <f>[1]FINAL!M1022</f>
        <v>0</v>
      </c>
    </row>
    <row r="1023" spans="1:4" x14ac:dyDescent="0.3">
      <c r="A1023">
        <f>[1]FINAL!A1023</f>
        <v>0</v>
      </c>
      <c r="B1023">
        <f>[1]FINAL!J1023</f>
        <v>0</v>
      </c>
      <c r="C1023">
        <f>[1]FINAL!K1023</f>
        <v>0</v>
      </c>
      <c r="D1023">
        <f>[1]FINAL!M1023</f>
        <v>0</v>
      </c>
    </row>
    <row r="1024" spans="1:4" x14ac:dyDescent="0.3">
      <c r="A1024">
        <f>[1]FINAL!A1024</f>
        <v>0</v>
      </c>
      <c r="B1024">
        <f>[1]FINAL!J1024</f>
        <v>0</v>
      </c>
      <c r="C1024">
        <f>[1]FINAL!K1024</f>
        <v>0</v>
      </c>
      <c r="D1024">
        <f>[1]FINAL!M1024</f>
        <v>0</v>
      </c>
    </row>
    <row r="1025" spans="1:4" x14ac:dyDescent="0.3">
      <c r="A1025">
        <f>[1]FINAL!A1025</f>
        <v>0</v>
      </c>
      <c r="B1025">
        <f>[1]FINAL!J1025</f>
        <v>0</v>
      </c>
      <c r="C1025">
        <f>[1]FINAL!K1025</f>
        <v>0</v>
      </c>
      <c r="D1025">
        <f>[1]FINAL!M1025</f>
        <v>0</v>
      </c>
    </row>
    <row r="1026" spans="1:4" x14ac:dyDescent="0.3">
      <c r="A1026">
        <f>[1]FINAL!A1026</f>
        <v>0</v>
      </c>
      <c r="B1026">
        <f>[1]FINAL!J1026</f>
        <v>0</v>
      </c>
      <c r="C1026">
        <f>[1]FINAL!K1026</f>
        <v>0</v>
      </c>
      <c r="D1026">
        <f>[1]FINAL!M1026</f>
        <v>0</v>
      </c>
    </row>
    <row r="1027" spans="1:4" x14ac:dyDescent="0.3">
      <c r="A1027">
        <f>[1]FINAL!A1027</f>
        <v>0</v>
      </c>
      <c r="B1027">
        <f>[1]FINAL!J1027</f>
        <v>0</v>
      </c>
      <c r="C1027">
        <f>[1]FINAL!K1027</f>
        <v>0</v>
      </c>
      <c r="D1027">
        <f>[1]FINAL!M1027</f>
        <v>0</v>
      </c>
    </row>
    <row r="1028" spans="1:4" x14ac:dyDescent="0.3">
      <c r="A1028">
        <f>[1]FINAL!A1028</f>
        <v>0</v>
      </c>
      <c r="B1028">
        <f>[1]FINAL!J1028</f>
        <v>0</v>
      </c>
      <c r="C1028">
        <f>[1]FINAL!K1028</f>
        <v>0</v>
      </c>
      <c r="D1028">
        <f>[1]FINAL!M1028</f>
        <v>0</v>
      </c>
    </row>
    <row r="1029" spans="1:4" x14ac:dyDescent="0.3">
      <c r="A1029">
        <f>[1]FINAL!A1029</f>
        <v>0</v>
      </c>
      <c r="B1029">
        <f>[1]FINAL!J1029</f>
        <v>0</v>
      </c>
      <c r="C1029">
        <f>[1]FINAL!K1029</f>
        <v>0</v>
      </c>
      <c r="D1029">
        <f>[1]FINAL!M1029</f>
        <v>0</v>
      </c>
    </row>
    <row r="1030" spans="1:4" x14ac:dyDescent="0.3">
      <c r="A1030">
        <f>[1]FINAL!A1030</f>
        <v>0</v>
      </c>
      <c r="B1030">
        <f>[1]FINAL!J1030</f>
        <v>0</v>
      </c>
      <c r="C1030">
        <f>[1]FINAL!K1030</f>
        <v>0</v>
      </c>
      <c r="D1030">
        <f>[1]FINAL!M1030</f>
        <v>0</v>
      </c>
    </row>
    <row r="1031" spans="1:4" x14ac:dyDescent="0.3">
      <c r="A1031">
        <f>[1]FINAL!A1031</f>
        <v>0</v>
      </c>
      <c r="B1031">
        <f>[1]FINAL!J1031</f>
        <v>0</v>
      </c>
      <c r="C1031">
        <f>[1]FINAL!K1031</f>
        <v>0</v>
      </c>
      <c r="D1031">
        <f>[1]FINAL!M1031</f>
        <v>0</v>
      </c>
    </row>
    <row r="1032" spans="1:4" x14ac:dyDescent="0.3">
      <c r="A1032">
        <f>[1]FINAL!A1032</f>
        <v>0</v>
      </c>
      <c r="B1032">
        <f>[1]FINAL!J1032</f>
        <v>0</v>
      </c>
      <c r="C1032">
        <f>[1]FINAL!K1032</f>
        <v>0</v>
      </c>
      <c r="D1032">
        <f>[1]FINAL!M1032</f>
        <v>0</v>
      </c>
    </row>
    <row r="1033" spans="1:4" x14ac:dyDescent="0.3">
      <c r="A1033">
        <f>[1]FINAL!A1033</f>
        <v>0</v>
      </c>
      <c r="B1033">
        <f>[1]FINAL!J1033</f>
        <v>0</v>
      </c>
      <c r="C1033">
        <f>[1]FINAL!K1033</f>
        <v>0</v>
      </c>
      <c r="D1033">
        <f>[1]FINAL!M1033</f>
        <v>0</v>
      </c>
    </row>
    <row r="1034" spans="1:4" x14ac:dyDescent="0.3">
      <c r="A1034">
        <f>[1]FINAL!A1034</f>
        <v>0</v>
      </c>
      <c r="B1034">
        <f>[1]FINAL!J1034</f>
        <v>0</v>
      </c>
      <c r="C1034">
        <f>[1]FINAL!K1034</f>
        <v>0</v>
      </c>
      <c r="D1034">
        <f>[1]FINAL!M1034</f>
        <v>0</v>
      </c>
    </row>
    <row r="1035" spans="1:4" x14ac:dyDescent="0.3">
      <c r="A1035">
        <f>[1]FINAL!A1035</f>
        <v>0</v>
      </c>
      <c r="B1035">
        <f>[1]FINAL!J1035</f>
        <v>0</v>
      </c>
      <c r="C1035">
        <f>[1]FINAL!K1035</f>
        <v>0</v>
      </c>
      <c r="D1035">
        <f>[1]FINAL!M1035</f>
        <v>0</v>
      </c>
    </row>
    <row r="1036" spans="1:4" x14ac:dyDescent="0.3">
      <c r="A1036">
        <f>[1]FINAL!A1036</f>
        <v>0</v>
      </c>
      <c r="B1036">
        <f>[1]FINAL!J1036</f>
        <v>0</v>
      </c>
      <c r="C1036">
        <f>[1]FINAL!K1036</f>
        <v>0</v>
      </c>
      <c r="D1036">
        <f>[1]FINAL!M1036</f>
        <v>0</v>
      </c>
    </row>
    <row r="1037" spans="1:4" x14ac:dyDescent="0.3">
      <c r="A1037">
        <f>[1]FINAL!A1037</f>
        <v>0</v>
      </c>
      <c r="B1037">
        <f>[1]FINAL!J1037</f>
        <v>0</v>
      </c>
      <c r="C1037">
        <f>[1]FINAL!K1037</f>
        <v>0</v>
      </c>
      <c r="D1037">
        <f>[1]FINAL!M1037</f>
        <v>0</v>
      </c>
    </row>
    <row r="1038" spans="1:4" x14ac:dyDescent="0.3">
      <c r="A1038">
        <f>[1]FINAL!A1038</f>
        <v>0</v>
      </c>
      <c r="B1038">
        <f>[1]FINAL!J1038</f>
        <v>0</v>
      </c>
      <c r="C1038">
        <f>[1]FINAL!K1038</f>
        <v>0</v>
      </c>
      <c r="D1038">
        <f>[1]FINAL!M1038</f>
        <v>0</v>
      </c>
    </row>
    <row r="1039" spans="1:4" x14ac:dyDescent="0.3">
      <c r="A1039">
        <f>[1]FINAL!A1039</f>
        <v>0</v>
      </c>
      <c r="B1039">
        <f>[1]FINAL!J1039</f>
        <v>0</v>
      </c>
      <c r="C1039">
        <f>[1]FINAL!K1039</f>
        <v>0</v>
      </c>
      <c r="D1039">
        <f>[1]FINAL!M1039</f>
        <v>0</v>
      </c>
    </row>
    <row r="1040" spans="1:4" x14ac:dyDescent="0.3">
      <c r="A1040">
        <f>[1]FINAL!A1040</f>
        <v>0</v>
      </c>
      <c r="B1040">
        <f>[1]FINAL!J1040</f>
        <v>0</v>
      </c>
      <c r="C1040">
        <f>[1]FINAL!K1040</f>
        <v>0</v>
      </c>
      <c r="D1040">
        <f>[1]FINAL!M1040</f>
        <v>0</v>
      </c>
    </row>
    <row r="1041" spans="1:4" x14ac:dyDescent="0.3">
      <c r="A1041">
        <f>[1]FINAL!A1041</f>
        <v>0</v>
      </c>
      <c r="B1041">
        <f>[1]FINAL!J1041</f>
        <v>0</v>
      </c>
      <c r="C1041">
        <f>[1]FINAL!K1041</f>
        <v>0</v>
      </c>
      <c r="D1041">
        <f>[1]FINAL!M1041</f>
        <v>0</v>
      </c>
    </row>
    <row r="1042" spans="1:4" x14ac:dyDescent="0.3">
      <c r="A1042">
        <f>[1]FINAL!A1042</f>
        <v>0</v>
      </c>
      <c r="B1042">
        <f>[1]FINAL!J1042</f>
        <v>0</v>
      </c>
      <c r="C1042">
        <f>[1]FINAL!K1042</f>
        <v>0</v>
      </c>
      <c r="D1042">
        <f>[1]FINAL!M1042</f>
        <v>0</v>
      </c>
    </row>
    <row r="1043" spans="1:4" x14ac:dyDescent="0.3">
      <c r="A1043">
        <f>[1]FINAL!A1043</f>
        <v>0</v>
      </c>
      <c r="B1043">
        <f>[1]FINAL!J1043</f>
        <v>0</v>
      </c>
      <c r="C1043">
        <f>[1]FINAL!K1043</f>
        <v>0</v>
      </c>
      <c r="D1043">
        <f>[1]FINAL!M1043</f>
        <v>0</v>
      </c>
    </row>
    <row r="1044" spans="1:4" x14ac:dyDescent="0.3">
      <c r="A1044">
        <f>[1]FINAL!A1044</f>
        <v>0</v>
      </c>
      <c r="B1044">
        <f>[1]FINAL!J1044</f>
        <v>0</v>
      </c>
      <c r="C1044">
        <f>[1]FINAL!K1044</f>
        <v>0</v>
      </c>
      <c r="D1044">
        <f>[1]FINAL!M1044</f>
        <v>0</v>
      </c>
    </row>
    <row r="1045" spans="1:4" x14ac:dyDescent="0.3">
      <c r="A1045">
        <f>[1]FINAL!A1045</f>
        <v>0</v>
      </c>
      <c r="B1045">
        <f>[1]FINAL!J1045</f>
        <v>0</v>
      </c>
      <c r="C1045">
        <f>[1]FINAL!K1045</f>
        <v>0</v>
      </c>
      <c r="D1045">
        <f>[1]FINAL!M1045</f>
        <v>0</v>
      </c>
    </row>
    <row r="1046" spans="1:4" x14ac:dyDescent="0.3">
      <c r="A1046">
        <f>[1]FINAL!A1046</f>
        <v>0</v>
      </c>
      <c r="B1046">
        <f>[1]FINAL!J1046</f>
        <v>0</v>
      </c>
      <c r="C1046">
        <f>[1]FINAL!K1046</f>
        <v>0</v>
      </c>
      <c r="D1046">
        <f>[1]FINAL!M1046</f>
        <v>0</v>
      </c>
    </row>
    <row r="1047" spans="1:4" x14ac:dyDescent="0.3">
      <c r="A1047">
        <f>[1]FINAL!A1047</f>
        <v>0</v>
      </c>
      <c r="B1047">
        <f>[1]FINAL!J1047</f>
        <v>0</v>
      </c>
      <c r="C1047">
        <f>[1]FINAL!K1047</f>
        <v>0</v>
      </c>
      <c r="D1047">
        <f>[1]FINAL!M1047</f>
        <v>0</v>
      </c>
    </row>
    <row r="1048" spans="1:4" x14ac:dyDescent="0.3">
      <c r="A1048">
        <f>[1]FINAL!A1048</f>
        <v>0</v>
      </c>
      <c r="B1048">
        <f>[1]FINAL!J1048</f>
        <v>0</v>
      </c>
      <c r="C1048">
        <f>[1]FINAL!K1048</f>
        <v>0</v>
      </c>
      <c r="D1048">
        <f>[1]FINAL!M1048</f>
        <v>0</v>
      </c>
    </row>
    <row r="1049" spans="1:4" x14ac:dyDescent="0.3">
      <c r="A1049">
        <f>[1]FINAL!A1049</f>
        <v>0</v>
      </c>
      <c r="B1049">
        <f>[1]FINAL!J1049</f>
        <v>0</v>
      </c>
      <c r="C1049">
        <f>[1]FINAL!K1049</f>
        <v>0</v>
      </c>
      <c r="D1049">
        <f>[1]FINAL!M1049</f>
        <v>0</v>
      </c>
    </row>
    <row r="1050" spans="1:4" x14ac:dyDescent="0.3">
      <c r="A1050">
        <f>[1]FINAL!A1050</f>
        <v>0</v>
      </c>
      <c r="B1050">
        <f>[1]FINAL!J1050</f>
        <v>0</v>
      </c>
      <c r="C1050">
        <f>[1]FINAL!K1050</f>
        <v>0</v>
      </c>
      <c r="D1050">
        <f>[1]FINAL!M1050</f>
        <v>0</v>
      </c>
    </row>
    <row r="1051" spans="1:4" x14ac:dyDescent="0.3">
      <c r="A1051">
        <f>[1]FINAL!A1051</f>
        <v>0</v>
      </c>
      <c r="B1051">
        <f>[1]FINAL!J1051</f>
        <v>0</v>
      </c>
      <c r="C1051">
        <f>[1]FINAL!K1051</f>
        <v>0</v>
      </c>
      <c r="D1051">
        <f>[1]FINAL!M1051</f>
        <v>0</v>
      </c>
    </row>
    <row r="1052" spans="1:4" x14ac:dyDescent="0.3">
      <c r="A1052">
        <f>[1]FINAL!A1052</f>
        <v>0</v>
      </c>
      <c r="B1052">
        <f>[1]FINAL!J1052</f>
        <v>0</v>
      </c>
      <c r="C1052">
        <f>[1]FINAL!K1052</f>
        <v>0</v>
      </c>
      <c r="D1052">
        <f>[1]FINAL!M1052</f>
        <v>0</v>
      </c>
    </row>
    <row r="1053" spans="1:4" x14ac:dyDescent="0.3">
      <c r="A1053">
        <f>[1]FINAL!A1053</f>
        <v>0</v>
      </c>
      <c r="B1053">
        <f>[1]FINAL!J1053</f>
        <v>0</v>
      </c>
      <c r="C1053">
        <f>[1]FINAL!K1053</f>
        <v>0</v>
      </c>
      <c r="D1053">
        <f>[1]FINAL!M1053</f>
        <v>0</v>
      </c>
    </row>
    <row r="1054" spans="1:4" x14ac:dyDescent="0.3">
      <c r="A1054">
        <f>[1]FINAL!A1054</f>
        <v>0</v>
      </c>
      <c r="B1054">
        <f>[1]FINAL!J1054</f>
        <v>0</v>
      </c>
      <c r="C1054">
        <f>[1]FINAL!K1054</f>
        <v>0</v>
      </c>
      <c r="D1054">
        <f>[1]FINAL!M1054</f>
        <v>0</v>
      </c>
    </row>
    <row r="1055" spans="1:4" x14ac:dyDescent="0.3">
      <c r="A1055">
        <f>[1]FINAL!A1055</f>
        <v>0</v>
      </c>
      <c r="B1055">
        <f>[1]FINAL!J1055</f>
        <v>0</v>
      </c>
      <c r="C1055">
        <f>[1]FINAL!K1055</f>
        <v>0</v>
      </c>
      <c r="D1055">
        <f>[1]FINAL!M1055</f>
        <v>0</v>
      </c>
    </row>
    <row r="1056" spans="1:4" x14ac:dyDescent="0.3">
      <c r="A1056">
        <f>[1]FINAL!A1056</f>
        <v>0</v>
      </c>
      <c r="B1056">
        <f>[1]FINAL!J1056</f>
        <v>0</v>
      </c>
      <c r="C1056">
        <f>[1]FINAL!K1056</f>
        <v>0</v>
      </c>
      <c r="D1056">
        <f>[1]FINAL!M1056</f>
        <v>0</v>
      </c>
    </row>
    <row r="1057" spans="1:4" x14ac:dyDescent="0.3">
      <c r="A1057">
        <f>[1]FINAL!A1057</f>
        <v>0</v>
      </c>
      <c r="B1057">
        <f>[1]FINAL!J1057</f>
        <v>0</v>
      </c>
      <c r="C1057">
        <f>[1]FINAL!K1057</f>
        <v>0</v>
      </c>
      <c r="D1057">
        <f>[1]FINAL!M1057</f>
        <v>0</v>
      </c>
    </row>
    <row r="1058" spans="1:4" x14ac:dyDescent="0.3">
      <c r="A1058">
        <f>[1]FINAL!A1058</f>
        <v>0</v>
      </c>
      <c r="B1058">
        <f>[1]FINAL!J1058</f>
        <v>0</v>
      </c>
      <c r="C1058">
        <f>[1]FINAL!K1058</f>
        <v>0</v>
      </c>
      <c r="D1058">
        <f>[1]FINAL!M1058</f>
        <v>0</v>
      </c>
    </row>
    <row r="1059" spans="1:4" x14ac:dyDescent="0.3">
      <c r="A1059">
        <f>[1]FINAL!A1059</f>
        <v>0</v>
      </c>
      <c r="B1059">
        <f>[1]FINAL!J1059</f>
        <v>0</v>
      </c>
      <c r="C1059">
        <f>[1]FINAL!K1059</f>
        <v>0</v>
      </c>
      <c r="D1059">
        <f>[1]FINAL!M1059</f>
        <v>0</v>
      </c>
    </row>
    <row r="1060" spans="1:4" x14ac:dyDescent="0.3">
      <c r="A1060">
        <f>[1]FINAL!A1060</f>
        <v>0</v>
      </c>
      <c r="B1060">
        <f>[1]FINAL!J1060</f>
        <v>0</v>
      </c>
      <c r="C1060">
        <f>[1]FINAL!K1060</f>
        <v>0</v>
      </c>
      <c r="D1060">
        <f>[1]FINAL!M1060</f>
        <v>0</v>
      </c>
    </row>
    <row r="1061" spans="1:4" x14ac:dyDescent="0.3">
      <c r="A1061">
        <f>[1]FINAL!A1061</f>
        <v>0</v>
      </c>
      <c r="B1061">
        <f>[1]FINAL!J1061</f>
        <v>0</v>
      </c>
      <c r="C1061">
        <f>[1]FINAL!K1061</f>
        <v>0</v>
      </c>
      <c r="D1061">
        <f>[1]FINAL!M1061</f>
        <v>0</v>
      </c>
    </row>
    <row r="1062" spans="1:4" x14ac:dyDescent="0.3">
      <c r="A1062">
        <f>[1]FINAL!A1062</f>
        <v>0</v>
      </c>
      <c r="B1062">
        <f>[1]FINAL!J1062</f>
        <v>0</v>
      </c>
      <c r="C1062">
        <f>[1]FINAL!K1062</f>
        <v>0</v>
      </c>
      <c r="D1062">
        <f>[1]FINAL!M1062</f>
        <v>0</v>
      </c>
    </row>
    <row r="1063" spans="1:4" x14ac:dyDescent="0.3">
      <c r="A1063">
        <f>[1]FINAL!A1063</f>
        <v>0</v>
      </c>
      <c r="B1063">
        <f>[1]FINAL!J1063</f>
        <v>0</v>
      </c>
      <c r="C1063">
        <f>[1]FINAL!K1063</f>
        <v>0</v>
      </c>
      <c r="D1063">
        <f>[1]FINAL!M1063</f>
        <v>0</v>
      </c>
    </row>
    <row r="1064" spans="1:4" x14ac:dyDescent="0.3">
      <c r="A1064">
        <f>[1]FINAL!A1064</f>
        <v>0</v>
      </c>
      <c r="B1064">
        <f>[1]FINAL!J1064</f>
        <v>0</v>
      </c>
      <c r="C1064">
        <f>[1]FINAL!K1064</f>
        <v>0</v>
      </c>
      <c r="D1064">
        <f>[1]FINAL!M1064</f>
        <v>0</v>
      </c>
    </row>
    <row r="1065" spans="1:4" x14ac:dyDescent="0.3">
      <c r="A1065">
        <f>[1]FINAL!A1065</f>
        <v>0</v>
      </c>
      <c r="B1065">
        <f>[1]FINAL!J1065</f>
        <v>0</v>
      </c>
      <c r="C1065">
        <f>[1]FINAL!K1065</f>
        <v>0</v>
      </c>
      <c r="D1065">
        <f>[1]FINAL!M1065</f>
        <v>0</v>
      </c>
    </row>
    <row r="1066" spans="1:4" x14ac:dyDescent="0.3">
      <c r="A1066">
        <f>[1]FINAL!A1066</f>
        <v>0</v>
      </c>
      <c r="B1066">
        <f>[1]FINAL!J1066</f>
        <v>0</v>
      </c>
      <c r="C1066">
        <f>[1]FINAL!K1066</f>
        <v>0</v>
      </c>
      <c r="D1066">
        <f>[1]FINAL!M1066</f>
        <v>0</v>
      </c>
    </row>
    <row r="1067" spans="1:4" x14ac:dyDescent="0.3">
      <c r="A1067">
        <f>[1]FINAL!A1067</f>
        <v>0</v>
      </c>
      <c r="B1067">
        <f>[1]FINAL!J1067</f>
        <v>0</v>
      </c>
      <c r="C1067">
        <f>[1]FINAL!K1067</f>
        <v>0</v>
      </c>
      <c r="D1067">
        <f>[1]FINAL!M1067</f>
        <v>0</v>
      </c>
    </row>
    <row r="1068" spans="1:4" x14ac:dyDescent="0.3">
      <c r="A1068">
        <f>[1]FINAL!A1068</f>
        <v>0</v>
      </c>
      <c r="B1068">
        <f>[1]FINAL!J1068</f>
        <v>0</v>
      </c>
      <c r="C1068">
        <f>[1]FINAL!K1068</f>
        <v>0</v>
      </c>
      <c r="D1068">
        <f>[1]FINAL!M1068</f>
        <v>0</v>
      </c>
    </row>
    <row r="1069" spans="1:4" x14ac:dyDescent="0.3">
      <c r="A1069">
        <f>[1]FINAL!A1069</f>
        <v>0</v>
      </c>
      <c r="B1069">
        <f>[1]FINAL!J1069</f>
        <v>0</v>
      </c>
      <c r="C1069">
        <f>[1]FINAL!K1069</f>
        <v>0</v>
      </c>
      <c r="D1069">
        <f>[1]FINAL!M1069</f>
        <v>0</v>
      </c>
    </row>
    <row r="1070" spans="1:4" x14ac:dyDescent="0.3">
      <c r="A1070">
        <f>[1]FINAL!A1070</f>
        <v>0</v>
      </c>
      <c r="B1070">
        <f>[1]FINAL!J1070</f>
        <v>0</v>
      </c>
      <c r="C1070">
        <f>[1]FINAL!K1070</f>
        <v>0</v>
      </c>
      <c r="D1070">
        <f>[1]FINAL!M1070</f>
        <v>0</v>
      </c>
    </row>
    <row r="1071" spans="1:4" x14ac:dyDescent="0.3">
      <c r="A1071">
        <f>[1]FINAL!A1071</f>
        <v>0</v>
      </c>
      <c r="B1071">
        <f>[1]FINAL!J1071</f>
        <v>0</v>
      </c>
      <c r="C1071">
        <f>[1]FINAL!K1071</f>
        <v>0</v>
      </c>
      <c r="D1071">
        <f>[1]FINAL!M1071</f>
        <v>0</v>
      </c>
    </row>
    <row r="1072" spans="1:4" x14ac:dyDescent="0.3">
      <c r="A1072">
        <f>[1]FINAL!A1072</f>
        <v>0</v>
      </c>
      <c r="B1072">
        <f>[1]FINAL!J1072</f>
        <v>0</v>
      </c>
      <c r="C1072">
        <f>[1]FINAL!K1072</f>
        <v>0</v>
      </c>
      <c r="D1072">
        <f>[1]FINAL!M1072</f>
        <v>0</v>
      </c>
    </row>
    <row r="1073" spans="1:4" x14ac:dyDescent="0.3">
      <c r="A1073">
        <f>[1]FINAL!A1073</f>
        <v>0</v>
      </c>
      <c r="B1073">
        <f>[1]FINAL!J1073</f>
        <v>0</v>
      </c>
      <c r="C1073">
        <f>[1]FINAL!K1073</f>
        <v>0</v>
      </c>
      <c r="D1073">
        <f>[1]FINAL!M1073</f>
        <v>0</v>
      </c>
    </row>
    <row r="1074" spans="1:4" x14ac:dyDescent="0.3">
      <c r="A1074">
        <f>[1]FINAL!A1074</f>
        <v>0</v>
      </c>
      <c r="B1074">
        <f>[1]FINAL!J1074</f>
        <v>0</v>
      </c>
      <c r="C1074">
        <f>[1]FINAL!K1074</f>
        <v>0</v>
      </c>
      <c r="D1074">
        <f>[1]FINAL!M1074</f>
        <v>0</v>
      </c>
    </row>
    <row r="1075" spans="1:4" x14ac:dyDescent="0.3">
      <c r="A1075">
        <f>[1]FINAL!A1075</f>
        <v>0</v>
      </c>
      <c r="B1075">
        <f>[1]FINAL!J1075</f>
        <v>0</v>
      </c>
      <c r="C1075">
        <f>[1]FINAL!K1075</f>
        <v>0</v>
      </c>
      <c r="D1075">
        <f>[1]FINAL!M1075</f>
        <v>0</v>
      </c>
    </row>
    <row r="1076" spans="1:4" x14ac:dyDescent="0.3">
      <c r="A1076">
        <f>[1]FINAL!A1076</f>
        <v>0</v>
      </c>
      <c r="B1076">
        <f>[1]FINAL!J1076</f>
        <v>0</v>
      </c>
      <c r="C1076">
        <f>[1]FINAL!K1076</f>
        <v>0</v>
      </c>
      <c r="D1076">
        <f>[1]FINAL!M1076</f>
        <v>0</v>
      </c>
    </row>
    <row r="1077" spans="1:4" x14ac:dyDescent="0.3">
      <c r="A1077">
        <f>[1]FINAL!A1077</f>
        <v>0</v>
      </c>
      <c r="B1077">
        <f>[1]FINAL!J1077</f>
        <v>0</v>
      </c>
      <c r="C1077">
        <f>[1]FINAL!K1077</f>
        <v>0</v>
      </c>
      <c r="D1077">
        <f>[1]FINAL!M1077</f>
        <v>0</v>
      </c>
    </row>
    <row r="1078" spans="1:4" x14ac:dyDescent="0.3">
      <c r="A1078">
        <f>[1]FINAL!A1078</f>
        <v>0</v>
      </c>
      <c r="B1078">
        <f>[1]FINAL!J1078</f>
        <v>0</v>
      </c>
      <c r="C1078">
        <f>[1]FINAL!K1078</f>
        <v>0</v>
      </c>
      <c r="D1078">
        <f>[1]FINAL!M1078</f>
        <v>0</v>
      </c>
    </row>
    <row r="1079" spans="1:4" x14ac:dyDescent="0.3">
      <c r="A1079">
        <f>[1]FINAL!A1079</f>
        <v>0</v>
      </c>
      <c r="B1079">
        <f>[1]FINAL!J1079</f>
        <v>0</v>
      </c>
      <c r="C1079">
        <f>[1]FINAL!K1079</f>
        <v>0</v>
      </c>
      <c r="D1079">
        <f>[1]FINAL!M1079</f>
        <v>0</v>
      </c>
    </row>
    <row r="1080" spans="1:4" x14ac:dyDescent="0.3">
      <c r="A1080">
        <f>[1]FINAL!A1080</f>
        <v>0</v>
      </c>
      <c r="B1080">
        <f>[1]FINAL!J1080</f>
        <v>0</v>
      </c>
      <c r="C1080">
        <f>[1]FINAL!K1080</f>
        <v>0</v>
      </c>
      <c r="D1080">
        <f>[1]FINAL!M1080</f>
        <v>0</v>
      </c>
    </row>
    <row r="1081" spans="1:4" x14ac:dyDescent="0.3">
      <c r="A1081">
        <f>[1]FINAL!A1081</f>
        <v>0</v>
      </c>
      <c r="B1081">
        <f>[1]FINAL!J1081</f>
        <v>0</v>
      </c>
      <c r="C1081">
        <f>[1]FINAL!K1081</f>
        <v>0</v>
      </c>
      <c r="D1081">
        <f>[1]FINAL!M1081</f>
        <v>0</v>
      </c>
    </row>
    <row r="1082" spans="1:4" x14ac:dyDescent="0.3">
      <c r="A1082">
        <f>[1]FINAL!A1082</f>
        <v>0</v>
      </c>
      <c r="B1082">
        <f>[1]FINAL!J1082</f>
        <v>0</v>
      </c>
      <c r="C1082">
        <f>[1]FINAL!K1082</f>
        <v>0</v>
      </c>
      <c r="D1082">
        <f>[1]FINAL!M1082</f>
        <v>0</v>
      </c>
    </row>
    <row r="1083" spans="1:4" x14ac:dyDescent="0.3">
      <c r="A1083">
        <f>[1]FINAL!A1083</f>
        <v>0</v>
      </c>
      <c r="B1083">
        <f>[1]FINAL!J1083</f>
        <v>0</v>
      </c>
      <c r="C1083">
        <f>[1]FINAL!K1083</f>
        <v>0</v>
      </c>
      <c r="D1083">
        <f>[1]FINAL!M1083</f>
        <v>0</v>
      </c>
    </row>
    <row r="1084" spans="1:4" x14ac:dyDescent="0.3">
      <c r="A1084">
        <f>[1]FINAL!A1084</f>
        <v>0</v>
      </c>
      <c r="B1084">
        <f>[1]FINAL!J1084</f>
        <v>0</v>
      </c>
      <c r="C1084">
        <f>[1]FINAL!K1084</f>
        <v>0</v>
      </c>
      <c r="D1084">
        <f>[1]FINAL!M1084</f>
        <v>0</v>
      </c>
    </row>
    <row r="1085" spans="1:4" x14ac:dyDescent="0.3">
      <c r="A1085">
        <f>[1]FINAL!A1085</f>
        <v>0</v>
      </c>
      <c r="B1085">
        <f>[1]FINAL!J1085</f>
        <v>0</v>
      </c>
      <c r="C1085">
        <f>[1]FINAL!K1085</f>
        <v>0</v>
      </c>
      <c r="D1085">
        <f>[1]FINAL!M1085</f>
        <v>0</v>
      </c>
    </row>
    <row r="1086" spans="1:4" x14ac:dyDescent="0.3">
      <c r="A1086">
        <f>[1]FINAL!A1086</f>
        <v>0</v>
      </c>
      <c r="B1086">
        <f>[1]FINAL!J1086</f>
        <v>0</v>
      </c>
      <c r="C1086">
        <f>[1]FINAL!K1086</f>
        <v>0</v>
      </c>
      <c r="D1086">
        <f>[1]FINAL!M1086</f>
        <v>0</v>
      </c>
    </row>
    <row r="1087" spans="1:4" x14ac:dyDescent="0.3">
      <c r="A1087">
        <f>[1]FINAL!A1087</f>
        <v>0</v>
      </c>
      <c r="B1087">
        <f>[1]FINAL!J1087</f>
        <v>0</v>
      </c>
      <c r="C1087">
        <f>[1]FINAL!K1087</f>
        <v>0</v>
      </c>
      <c r="D1087">
        <f>[1]FINAL!M1087</f>
        <v>0</v>
      </c>
    </row>
    <row r="1088" spans="1:4" x14ac:dyDescent="0.3">
      <c r="A1088">
        <f>[1]FINAL!A1088</f>
        <v>0</v>
      </c>
      <c r="B1088">
        <f>[1]FINAL!J1088</f>
        <v>0</v>
      </c>
      <c r="C1088">
        <f>[1]FINAL!K1088</f>
        <v>0</v>
      </c>
      <c r="D1088">
        <f>[1]FINAL!M1088</f>
        <v>0</v>
      </c>
    </row>
    <row r="1089" spans="1:4" x14ac:dyDescent="0.3">
      <c r="A1089">
        <f>[1]FINAL!A1089</f>
        <v>0</v>
      </c>
      <c r="B1089">
        <f>[1]FINAL!J1089</f>
        <v>0</v>
      </c>
      <c r="C1089">
        <f>[1]FINAL!K1089</f>
        <v>0</v>
      </c>
      <c r="D1089">
        <f>[1]FINAL!M1089</f>
        <v>0</v>
      </c>
    </row>
    <row r="1090" spans="1:4" x14ac:dyDescent="0.3">
      <c r="A1090">
        <f>[1]FINAL!A1090</f>
        <v>0</v>
      </c>
      <c r="B1090">
        <f>[1]FINAL!J1090</f>
        <v>0</v>
      </c>
      <c r="C1090">
        <f>[1]FINAL!K1090</f>
        <v>0</v>
      </c>
      <c r="D1090">
        <f>[1]FINAL!M1090</f>
        <v>0</v>
      </c>
    </row>
    <row r="1091" spans="1:4" x14ac:dyDescent="0.3">
      <c r="A1091">
        <f>[1]FINAL!A1091</f>
        <v>0</v>
      </c>
      <c r="B1091">
        <f>[1]FINAL!J1091</f>
        <v>0</v>
      </c>
      <c r="C1091">
        <f>[1]FINAL!K1091</f>
        <v>0</v>
      </c>
      <c r="D1091">
        <f>[1]FINAL!M1091</f>
        <v>0</v>
      </c>
    </row>
    <row r="1092" spans="1:4" x14ac:dyDescent="0.3">
      <c r="A1092">
        <f>[1]FINAL!A1092</f>
        <v>0</v>
      </c>
      <c r="B1092">
        <f>[1]FINAL!J1092</f>
        <v>0</v>
      </c>
      <c r="C1092">
        <f>[1]FINAL!K1092</f>
        <v>0</v>
      </c>
      <c r="D1092">
        <f>[1]FINAL!M1092</f>
        <v>0</v>
      </c>
    </row>
    <row r="1093" spans="1:4" x14ac:dyDescent="0.3">
      <c r="A1093">
        <f>[1]FINAL!A1093</f>
        <v>0</v>
      </c>
      <c r="B1093">
        <f>[1]FINAL!J1093</f>
        <v>0</v>
      </c>
      <c r="C1093">
        <f>[1]FINAL!K1093</f>
        <v>0</v>
      </c>
      <c r="D1093">
        <f>[1]FINAL!M1093</f>
        <v>0</v>
      </c>
    </row>
    <row r="1094" spans="1:4" x14ac:dyDescent="0.3">
      <c r="A1094">
        <f>[1]FINAL!A1094</f>
        <v>0</v>
      </c>
      <c r="B1094">
        <f>[1]FINAL!J1094</f>
        <v>0</v>
      </c>
      <c r="C1094">
        <f>[1]FINAL!K1094</f>
        <v>0</v>
      </c>
      <c r="D1094">
        <f>[1]FINAL!M1094</f>
        <v>0</v>
      </c>
    </row>
    <row r="1095" spans="1:4" x14ac:dyDescent="0.3">
      <c r="A1095">
        <f>[1]FINAL!A1095</f>
        <v>0</v>
      </c>
      <c r="B1095">
        <f>[1]FINAL!J1095</f>
        <v>0</v>
      </c>
      <c r="C1095">
        <f>[1]FINAL!K1095</f>
        <v>0</v>
      </c>
      <c r="D1095">
        <f>[1]FINAL!M1095</f>
        <v>0</v>
      </c>
    </row>
    <row r="1096" spans="1:4" x14ac:dyDescent="0.3">
      <c r="A1096">
        <f>[1]FINAL!A1096</f>
        <v>0</v>
      </c>
      <c r="B1096">
        <f>[1]FINAL!J1096</f>
        <v>0</v>
      </c>
      <c r="C1096">
        <f>[1]FINAL!K1096</f>
        <v>0</v>
      </c>
      <c r="D1096">
        <f>[1]FINAL!M1096</f>
        <v>0</v>
      </c>
    </row>
    <row r="1097" spans="1:4" x14ac:dyDescent="0.3">
      <c r="A1097">
        <f>[1]FINAL!A1097</f>
        <v>0</v>
      </c>
      <c r="B1097">
        <f>[1]FINAL!J1097</f>
        <v>0</v>
      </c>
      <c r="C1097">
        <f>[1]FINAL!K1097</f>
        <v>0</v>
      </c>
      <c r="D1097">
        <f>[1]FINAL!M1097</f>
        <v>0</v>
      </c>
    </row>
    <row r="1098" spans="1:4" x14ac:dyDescent="0.3">
      <c r="A1098">
        <f>[1]FINAL!A1098</f>
        <v>0</v>
      </c>
      <c r="B1098">
        <f>[1]FINAL!J1098</f>
        <v>0</v>
      </c>
      <c r="C1098">
        <f>[1]FINAL!K1098</f>
        <v>0</v>
      </c>
      <c r="D1098">
        <f>[1]FINAL!M1098</f>
        <v>0</v>
      </c>
    </row>
    <row r="1099" spans="1:4" x14ac:dyDescent="0.3">
      <c r="A1099">
        <f>[1]FINAL!A1099</f>
        <v>0</v>
      </c>
      <c r="B1099">
        <f>[1]FINAL!J1099</f>
        <v>0</v>
      </c>
      <c r="C1099">
        <f>[1]FINAL!K1099</f>
        <v>0</v>
      </c>
      <c r="D1099">
        <f>[1]FINAL!M1099</f>
        <v>0</v>
      </c>
    </row>
    <row r="1100" spans="1:4" x14ac:dyDescent="0.3">
      <c r="A1100">
        <f>[1]FINAL!A1100</f>
        <v>0</v>
      </c>
      <c r="B1100">
        <f>[1]FINAL!J1100</f>
        <v>0</v>
      </c>
      <c r="C1100">
        <f>[1]FINAL!K1100</f>
        <v>0</v>
      </c>
      <c r="D1100">
        <f>[1]FINAL!M1100</f>
        <v>0</v>
      </c>
    </row>
    <row r="1101" spans="1:4" x14ac:dyDescent="0.3">
      <c r="A1101">
        <f>[1]FINAL!A1101</f>
        <v>0</v>
      </c>
      <c r="B1101">
        <f>[1]FINAL!J1101</f>
        <v>0</v>
      </c>
      <c r="C1101">
        <f>[1]FINAL!K1101</f>
        <v>0</v>
      </c>
      <c r="D1101">
        <f>[1]FINAL!M1101</f>
        <v>0</v>
      </c>
    </row>
    <row r="1102" spans="1:4" x14ac:dyDescent="0.3">
      <c r="A1102">
        <f>[1]FINAL!A1102</f>
        <v>0</v>
      </c>
      <c r="B1102">
        <f>[1]FINAL!J1102</f>
        <v>0</v>
      </c>
      <c r="C1102">
        <f>[1]FINAL!K1102</f>
        <v>0</v>
      </c>
      <c r="D1102">
        <f>[1]FINAL!M1102</f>
        <v>0</v>
      </c>
    </row>
    <row r="1103" spans="1:4" x14ac:dyDescent="0.3">
      <c r="A1103">
        <f>[1]FINAL!A1103</f>
        <v>0</v>
      </c>
      <c r="B1103">
        <f>[1]FINAL!J1103</f>
        <v>0</v>
      </c>
      <c r="C1103">
        <f>[1]FINAL!K1103</f>
        <v>0</v>
      </c>
      <c r="D1103">
        <f>[1]FINAL!M1103</f>
        <v>0</v>
      </c>
    </row>
    <row r="1104" spans="1:4" x14ac:dyDescent="0.3">
      <c r="A1104">
        <f>[1]FINAL!A1104</f>
        <v>0</v>
      </c>
      <c r="B1104">
        <f>[1]FINAL!J1104</f>
        <v>0</v>
      </c>
      <c r="C1104">
        <f>[1]FINAL!K1104</f>
        <v>0</v>
      </c>
      <c r="D1104">
        <f>[1]FINAL!M1104</f>
        <v>0</v>
      </c>
    </row>
    <row r="1105" spans="1:4" x14ac:dyDescent="0.3">
      <c r="A1105">
        <f>[1]FINAL!A1105</f>
        <v>0</v>
      </c>
      <c r="B1105">
        <f>[1]FINAL!J1105</f>
        <v>0</v>
      </c>
      <c r="C1105">
        <f>[1]FINAL!K1105</f>
        <v>0</v>
      </c>
      <c r="D1105">
        <f>[1]FINAL!M1105</f>
        <v>0</v>
      </c>
    </row>
    <row r="1106" spans="1:4" x14ac:dyDescent="0.3">
      <c r="A1106">
        <f>[1]FINAL!A1106</f>
        <v>0</v>
      </c>
      <c r="B1106">
        <f>[1]FINAL!J1106</f>
        <v>0</v>
      </c>
      <c r="C1106">
        <f>[1]FINAL!K1106</f>
        <v>0</v>
      </c>
      <c r="D1106">
        <f>[1]FINAL!M1106</f>
        <v>0</v>
      </c>
    </row>
    <row r="1107" spans="1:4" x14ac:dyDescent="0.3">
      <c r="A1107">
        <f>[1]FINAL!A1107</f>
        <v>0</v>
      </c>
      <c r="B1107">
        <f>[1]FINAL!J1107</f>
        <v>0</v>
      </c>
      <c r="C1107">
        <f>[1]FINAL!K1107</f>
        <v>0</v>
      </c>
      <c r="D1107">
        <f>[1]FINAL!M1107</f>
        <v>0</v>
      </c>
    </row>
    <row r="1108" spans="1:4" x14ac:dyDescent="0.3">
      <c r="A1108">
        <f>[1]FINAL!A1108</f>
        <v>0</v>
      </c>
      <c r="B1108">
        <f>[1]FINAL!J1108</f>
        <v>0</v>
      </c>
      <c r="C1108">
        <f>[1]FINAL!K1108</f>
        <v>0</v>
      </c>
      <c r="D1108">
        <f>[1]FINAL!M1108</f>
        <v>0</v>
      </c>
    </row>
    <row r="1109" spans="1:4" x14ac:dyDescent="0.3">
      <c r="A1109">
        <f>[1]FINAL!A1109</f>
        <v>0</v>
      </c>
      <c r="B1109">
        <f>[1]FINAL!J1109</f>
        <v>0</v>
      </c>
      <c r="C1109">
        <f>[1]FINAL!K1109</f>
        <v>0</v>
      </c>
      <c r="D1109">
        <f>[1]FINAL!M1109</f>
        <v>0</v>
      </c>
    </row>
    <row r="1110" spans="1:4" x14ac:dyDescent="0.3">
      <c r="A1110">
        <f>[1]FINAL!A1110</f>
        <v>0</v>
      </c>
      <c r="B1110">
        <f>[1]FINAL!J1110</f>
        <v>0</v>
      </c>
      <c r="C1110">
        <f>[1]FINAL!K1110</f>
        <v>0</v>
      </c>
      <c r="D1110">
        <f>[1]FINAL!M1110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3647-D0A9-45FA-BF02-3330569109CA}">
  <dimension ref="A1:B5"/>
  <sheetViews>
    <sheetView workbookViewId="0">
      <selection activeCell="B7" sqref="B7"/>
    </sheetView>
  </sheetViews>
  <sheetFormatPr defaultRowHeight="16.5" x14ac:dyDescent="0.3"/>
  <cols>
    <col min="1" max="1" width="20.25" customWidth="1"/>
    <col min="2" max="2" width="152.5" customWidth="1"/>
  </cols>
  <sheetData>
    <row r="1" spans="1:2" x14ac:dyDescent="0.3">
      <c r="A1" s="9" t="s">
        <v>47</v>
      </c>
      <c r="B1" s="9" t="s">
        <v>48</v>
      </c>
    </row>
    <row r="2" spans="1:2" x14ac:dyDescent="0.3">
      <c r="A2" s="16">
        <v>45044</v>
      </c>
      <c r="B2" t="s">
        <v>49</v>
      </c>
    </row>
    <row r="3" spans="1:2" x14ac:dyDescent="0.3">
      <c r="B3" t="s">
        <v>50</v>
      </c>
    </row>
    <row r="4" spans="1:2" x14ac:dyDescent="0.3">
      <c r="B4" t="s">
        <v>51</v>
      </c>
    </row>
    <row r="5" spans="1:2" x14ac:dyDescent="0.3">
      <c r="B5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TEAMS</vt:lpstr>
      <vt:lpstr>DATA</vt:lpstr>
      <vt:lpstr>Player List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Bobby</cp:lastModifiedBy>
  <dcterms:created xsi:type="dcterms:W3CDTF">2023-03-07T11:00:08Z</dcterms:created>
  <dcterms:modified xsi:type="dcterms:W3CDTF">2023-08-11T09:19:46Z</dcterms:modified>
</cp:coreProperties>
</file>